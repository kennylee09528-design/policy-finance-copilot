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业务整体情况" sheetId="1" state="visible" r:id="rId3"/>
    <sheet name="分机构额度使用情况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<sst xmlns="http://schemas.openxmlformats.org/spreadsheetml/2006/main" count="63" uniqueCount="45">
  <si>
    <t xml:space="preserve">项目</t>
  </si>
  <si>
    <t xml:space="preserve">常规额度</t>
  </si>
  <si>
    <t xml:space="preserve">科技专项额度</t>
  </si>
  <si>
    <t xml:space="preserve">民间专项额度</t>
  </si>
  <si>
    <t xml:space="preserve">总对总额度</t>
  </si>
  <si>
    <r>
      <rPr>
        <sz val="11"/>
        <color theme="1"/>
        <rFont val="Noto Sans CJK SC"/>
        <family val="2"/>
      </rPr>
      <t xml:space="preserve">截止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19</t>
    </r>
    <r>
      <rPr>
        <sz val="11"/>
        <color theme="1"/>
        <rFont val="Noto Sans CJK SC"/>
        <family val="2"/>
      </rPr>
      <t xml:space="preserve">日备案金额</t>
    </r>
  </si>
  <si>
    <t xml:space="preserve">额度分配</t>
  </si>
  <si>
    <t xml:space="preserve">使用率</t>
  </si>
  <si>
    <t xml:space="preserve">剩余额度</t>
  </si>
  <si>
    <t xml:space="preserve">直保</t>
  </si>
  <si>
    <t xml:space="preserve">无上限额度，先到先得</t>
  </si>
  <si>
    <t xml:space="preserve">再保</t>
  </si>
  <si>
    <t xml:space="preserve">合计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</si>
  <si>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年国担额度</t>
    </r>
  </si>
  <si>
    <t xml:space="preserve">剩余未分配额度</t>
  </si>
  <si>
    <t xml:space="preserve">需调整</t>
  </si>
  <si>
    <r>
      <rPr>
        <sz val="11"/>
        <color theme="1"/>
        <rFont val="Calibri"/>
        <family val="2"/>
        <charset val="1"/>
      </rPr>
      <t xml:space="preserve">10000</t>
    </r>
    <r>
      <rPr>
        <sz val="11"/>
        <color theme="1"/>
        <rFont val="Noto Sans CJK SC"/>
        <family val="2"/>
      </rPr>
      <t xml:space="preserve">（示例，已上会确认）</t>
    </r>
  </si>
  <si>
    <t xml:space="preserve">序号</t>
  </si>
  <si>
    <t xml:space="preserve">机构</t>
  </si>
  <si>
    <r>
      <rPr>
        <sz val="11"/>
        <color theme="1"/>
        <rFont val="Noto Sans CJK SC"/>
        <family val="2"/>
      </rPr>
      <t xml:space="preserve">常规业务授信额度（万元）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示例：年中调整后</t>
    </r>
    <r>
      <rPr>
        <sz val="11"/>
        <color theme="1"/>
        <rFont val="Calibri"/>
        <family val="2"/>
        <charset val="1"/>
      </rPr>
      <t xml:space="preserve">)</t>
    </r>
  </si>
  <si>
    <t xml:space="preserve">常规业务</t>
  </si>
  <si>
    <t xml:space="preserve">科技创新计划额度（万元）</t>
  </si>
  <si>
    <t xml:space="preserve">科技专项</t>
  </si>
  <si>
    <t xml:space="preserve">民间专项计划额度（万元）</t>
  </si>
  <si>
    <t xml:space="preserve">民间专项</t>
  </si>
  <si>
    <t xml:space="preserve">总对总</t>
  </si>
  <si>
    <t xml:space="preserve">机构合计备案金额</t>
  </si>
  <si>
    <r>
      <rPr>
        <sz val="11"/>
        <color theme="1"/>
        <rFont val="Noto Sans CJK SC"/>
        <family val="2"/>
      </rPr>
      <t xml:space="preserve">截止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19</t>
    </r>
    <r>
      <rPr>
        <sz val="11"/>
        <color theme="1"/>
        <rFont val="Noto Sans CJK SC"/>
        <family val="2"/>
      </rPr>
      <t xml:space="preserve">日常规业务备案金额</t>
    </r>
  </si>
  <si>
    <t xml:space="preserve">额度使用比例</t>
  </si>
  <si>
    <r>
      <rPr>
        <sz val="11"/>
        <color theme="1"/>
        <rFont val="Noto Sans CJK SC"/>
        <family val="2"/>
      </rPr>
      <t xml:space="preserve">截止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19</t>
    </r>
    <r>
      <rPr>
        <sz val="11"/>
        <color theme="1"/>
        <rFont val="Noto Sans CJK SC"/>
        <family val="2"/>
      </rPr>
      <t xml:space="preserve">日科技创新计划备案金额</t>
    </r>
  </si>
  <si>
    <r>
      <rPr>
        <sz val="11"/>
        <color theme="1"/>
        <rFont val="Noto Sans CJK SC"/>
        <family val="2"/>
      </rPr>
      <t xml:space="preserve">截止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19</t>
    </r>
    <r>
      <rPr>
        <sz val="11"/>
        <color theme="1"/>
        <rFont val="Noto Sans CJK SC"/>
        <family val="2"/>
      </rPr>
      <t xml:space="preserve">日民间专项备案金额</t>
    </r>
  </si>
  <si>
    <r>
      <rPr>
        <sz val="11"/>
        <color theme="1"/>
        <rFont val="Noto Sans CJK SC"/>
        <family val="2"/>
      </rPr>
      <t xml:space="preserve">截止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19</t>
    </r>
    <r>
      <rPr>
        <sz val="11"/>
        <color theme="1"/>
        <rFont val="Noto Sans CJK SC"/>
        <family val="2"/>
      </rPr>
      <t xml:space="preserve">日总对总备案金额</t>
    </r>
  </si>
  <si>
    <t xml:space="preserve">常规备案占再保总备案比例</t>
  </si>
  <si>
    <t xml:space="preserve">民投备案占再保总备案比例</t>
  </si>
  <si>
    <r>
      <rPr>
        <sz val="11"/>
        <color theme="1"/>
        <rFont val="Noto Sans CJK SC"/>
        <family val="2"/>
      </rPr>
      <t xml:space="preserve">示例担保公司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</si>
  <si>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示例担保公司</t>
    </r>
    <r>
      <rPr>
        <sz val="11"/>
        <color theme="1"/>
        <rFont val="Calibri"/>
        <family val="2"/>
        <charset val="1"/>
      </rPr>
      <t xml:space="preserve">B</t>
    </r>
  </si>
  <si>
    <t xml:space="preserve">未申报额度</t>
  </si>
  <si>
    <r>
      <rPr>
        <sz val="11"/>
        <color theme="1"/>
        <rFont val="Noto Sans CJK SC"/>
        <family val="2"/>
      </rPr>
      <t xml:space="preserve">示例担保公司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</si>
  <si>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示例担保公司</t>
    </r>
    <r>
      <rPr>
        <sz val="11"/>
        <color theme="1"/>
        <rFont val="Calibri"/>
        <family val="2"/>
        <charset val="1"/>
      </rPr>
      <t xml:space="preserve">D</t>
    </r>
  </si>
  <si>
    <r>
      <rPr>
        <sz val="11"/>
        <color theme="1"/>
        <rFont val="Noto Sans CJK SC"/>
        <family val="2"/>
      </rPr>
      <t xml:space="preserve">示例担保公司</t>
    </r>
    <r>
      <rPr>
        <sz val="11"/>
        <color theme="1"/>
        <rFont val="Calibri"/>
        <family val="2"/>
        <charset val="1"/>
      </rPr>
      <t xml:space="preserve">E</t>
    </r>
  </si>
  <si>
    <r>
      <rPr>
        <sz val="11"/>
        <color theme="1"/>
        <rFont val="Noto Sans CJK SC"/>
        <family val="2"/>
      </rPr>
      <t xml:space="preserve">示例担保公司</t>
    </r>
    <r>
      <rPr>
        <sz val="11"/>
        <color theme="1"/>
        <rFont val="Calibri"/>
        <family val="2"/>
        <charset val="1"/>
      </rPr>
      <t xml:space="preserve">F</t>
    </r>
  </si>
  <si>
    <r>
      <rPr>
        <sz val="11"/>
        <color theme="1"/>
        <rFont val="Noto Sans CJK SC"/>
        <family val="2"/>
      </rPr>
      <t xml:space="preserve">示例担保公司</t>
    </r>
    <r>
      <rPr>
        <sz val="11"/>
        <color theme="1"/>
        <rFont val="Calibri"/>
        <family val="2"/>
        <charset val="1"/>
      </rPr>
      <t xml:space="preserve">G</t>
    </r>
  </si>
  <si>
    <r>
      <rPr>
        <sz val="11"/>
        <color theme="1"/>
        <rFont val="Noto Sans CJK SC"/>
        <family val="2"/>
      </rPr>
      <t xml:space="preserve">示例担保公司</t>
    </r>
    <r>
      <rPr>
        <sz val="11"/>
        <color theme="1"/>
        <rFont val="Calibri"/>
        <family val="2"/>
        <charset val="1"/>
      </rPr>
      <t xml:space="preserve">H</t>
    </r>
  </si>
  <si>
    <r>
      <rPr>
        <sz val="11"/>
        <color theme="1"/>
        <rFont val="Noto Sans CJK SC"/>
        <family val="2"/>
      </rPr>
      <t xml:space="preserve">示例担保公司</t>
    </r>
    <r>
      <rPr>
        <sz val="11"/>
        <color theme="1"/>
        <rFont val="Calibri"/>
        <family val="2"/>
        <charset val="1"/>
      </rPr>
      <t xml:space="preserve">I</t>
    </r>
  </si>
  <si>
    <r>
      <rPr>
        <sz val="11"/>
        <color theme="1"/>
        <rFont val="Noto Sans CJK SC"/>
        <family val="2"/>
      </rPr>
      <t xml:space="preserve">示例担保公司</t>
    </r>
    <r>
      <rPr>
        <sz val="11"/>
        <color theme="1"/>
        <rFont val="Calibri"/>
        <family val="2"/>
        <charset val="1"/>
      </rPr>
      <t xml:space="preserve">J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</si>
</sst>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Noto Sans CJK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F1" s="1" t="s">
        <v>2</v>
      </c>
      <c r="J1" s="1" t="s">
        <v>3</v>
      </c>
      <c r="N1" s="1" t="s">
        <v>4</v>
      </c>
    </row>
    <row r="2" customFormat="false" ht="17.15" hidden="false" customHeight="false" outlineLevel="0" collapsed="false">
      <c r="B2" s="1" t="s">
        <v>5</v>
      </c>
      <c r="C2" s="1" t="s">
        <v>6</v>
      </c>
      <c r="D2" s="1" t="s">
        <v>7</v>
      </c>
      <c r="E2" s="1" t="s">
        <v>8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5</v>
      </c>
      <c r="K2" s="1" t="s">
        <v>6</v>
      </c>
      <c r="L2" s="1" t="s">
        <v>7</v>
      </c>
      <c r="M2" s="1" t="s">
        <v>8</v>
      </c>
      <c r="N2" s="1" t="s">
        <v>5</v>
      </c>
      <c r="O2" s="1" t="s">
        <v>7</v>
      </c>
      <c r="P2" s="1" t="s">
        <v>8</v>
      </c>
    </row>
    <row r="3" customFormat="false" ht="15" hidden="false" customHeight="false" outlineLevel="0" collapsed="false">
      <c r="A3" s="1" t="s">
        <v>9</v>
      </c>
      <c r="B3" s="0" t="n">
        <v>1167287.839188</v>
      </c>
      <c r="C3" s="0" t="n">
        <v>1280000</v>
      </c>
      <c r="D3" s="0" t="n">
        <f aca="false">B3/C3</f>
        <v>0.911943624365625</v>
      </c>
      <c r="E3" s="0" t="n">
        <f aca="false">C3-B3</f>
        <v>112712.160812</v>
      </c>
      <c r="F3" s="0" t="n">
        <v>187387.819735</v>
      </c>
      <c r="G3" s="1" t="s">
        <v>10</v>
      </c>
      <c r="H3" s="0" t="n">
        <f aca="false">F3/$F$6</f>
        <v>0.37477563947</v>
      </c>
      <c r="J3" s="0" t="n">
        <v>81826.89762</v>
      </c>
      <c r="K3" s="0" t="n">
        <v>100000</v>
      </c>
      <c r="L3" s="0" t="n">
        <f aca="false">J3/K3</f>
        <v>0.8182689762</v>
      </c>
      <c r="M3" s="0" t="n">
        <f aca="false">K3-J3</f>
        <v>18173.10238</v>
      </c>
      <c r="N3" s="0" t="n">
        <v>303764.659544</v>
      </c>
      <c r="O3" s="0" t="n">
        <f aca="false">N3/N6</f>
        <v>0.389441871210256</v>
      </c>
    </row>
    <row r="4" customFormat="false" ht="15" hidden="false" customHeight="false" outlineLevel="0" collapsed="false">
      <c r="A4" s="1" t="s">
        <v>11</v>
      </c>
      <c r="B4" s="0" t="n">
        <f aca="false">B5-B3</f>
        <v>958684.778993</v>
      </c>
      <c r="C4" s="0" t="n">
        <f aca="false">分机构额度使用情况!C13</f>
        <v>1600000</v>
      </c>
      <c r="D4" s="0" t="n">
        <f aca="false">B4/C4</f>
        <v>0.599177986870625</v>
      </c>
      <c r="E4" s="0" t="n">
        <f aca="false">C4-B4</f>
        <v>641315.221007</v>
      </c>
      <c r="F4" s="0" t="n">
        <f aca="false">F5-F3</f>
        <v>183944.370504</v>
      </c>
      <c r="G4" s="1" t="s">
        <v>10</v>
      </c>
      <c r="H4" s="0" t="n">
        <f aca="false">F4/$F$6</f>
        <v>0.367888741008</v>
      </c>
      <c r="J4" s="0" t="n">
        <f aca="false">J5-J3</f>
        <v>181414.627968</v>
      </c>
      <c r="K4" s="0" t="n">
        <v>330000</v>
      </c>
      <c r="L4" s="0" t="n">
        <f aca="false">J4/K4</f>
        <v>0.549741296872727</v>
      </c>
      <c r="M4" s="0" t="n">
        <f aca="false">K4-J4</f>
        <v>148585.372032</v>
      </c>
      <c r="N4" s="0" t="n">
        <f aca="false">N5-N3</f>
        <v>256266.621549</v>
      </c>
      <c r="O4" s="0" t="n">
        <f aca="false">N4/N6</f>
        <v>0.328546950703846</v>
      </c>
    </row>
    <row r="5" customFormat="false" ht="15" hidden="false" customHeight="false" outlineLevel="0" collapsed="false">
      <c r="A5" s="1" t="s">
        <v>12</v>
      </c>
      <c r="B5" s="0" t="n">
        <v>2125972.618181</v>
      </c>
      <c r="C5" s="0" t="n">
        <f aca="false">SUM(C3:C4)</f>
        <v>2880000</v>
      </c>
      <c r="D5" s="0" t="n">
        <f aca="false">B5/B6</f>
        <v>0.472438359595778</v>
      </c>
      <c r="E5" s="0" t="n">
        <f aca="false">B6-B5</f>
        <v>2374027.381819</v>
      </c>
      <c r="F5" s="0" t="n">
        <v>371332.190239</v>
      </c>
      <c r="H5" s="0" t="n">
        <f aca="false">F5/$F$6</f>
        <v>0.742664380478</v>
      </c>
      <c r="I5" s="0" t="n">
        <f aca="false">F6-F5</f>
        <v>128667.809761</v>
      </c>
      <c r="J5" s="0" t="n">
        <v>263241.525588</v>
      </c>
      <c r="K5" s="0" t="n">
        <f aca="false">SUM(K3:K4)</f>
        <v>430000</v>
      </c>
      <c r="L5" s="0" t="n">
        <f aca="false">J5/K5</f>
        <v>0.612189594390698</v>
      </c>
      <c r="M5" s="0" t="n">
        <f aca="false">K5-J5</f>
        <v>166758.474412</v>
      </c>
      <c r="N5" s="0" t="n">
        <v>560031.281093</v>
      </c>
      <c r="O5" s="0" t="n">
        <f aca="false">N5/N6</f>
        <v>0.717988821914103</v>
      </c>
    </row>
    <row r="6" customFormat="false" ht="17.15" hidden="false" customHeight="false" outlineLevel="0" collapsed="false">
      <c r="A6" s="0" t="s">
        <v>13</v>
      </c>
      <c r="B6" s="0" t="n">
        <v>4500000</v>
      </c>
      <c r="F6" s="0" t="n">
        <v>500000</v>
      </c>
      <c r="J6" s="0" t="n">
        <v>430000</v>
      </c>
      <c r="N6" s="0" t="n">
        <v>780000</v>
      </c>
      <c r="P6" s="0" t="n">
        <f aca="false">N6-N5</f>
        <v>219968.718907</v>
      </c>
    </row>
    <row r="7" customFormat="false" ht="15" hidden="false" customHeight="false" outlineLevel="0" collapsed="false">
      <c r="A7" s="1" t="s">
        <v>14</v>
      </c>
      <c r="C7" s="0" t="n">
        <f aca="false">B6-C5</f>
        <v>1620000</v>
      </c>
      <c r="J7" s="0" t="n">
        <v>0</v>
      </c>
    </row>
    <row r="8" customFormat="false" ht="17.15" hidden="false" customHeight="false" outlineLevel="0" collapsed="false">
      <c r="A8" s="1" t="s">
        <v>15</v>
      </c>
      <c r="C8" s="0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7.15" hidden="false" customHeight="false" outlineLevel="0" collapsed="false">
      <c r="A1" s="1" t="s">
        <v>17</v>
      </c>
      <c r="B1" s="1" t="s">
        <v>18</v>
      </c>
      <c r="C1" s="1" t="s">
        <v>19</v>
      </c>
      <c r="D1" s="1" t="s">
        <v>20</v>
      </c>
      <c r="F1" s="1" t="s">
        <v>21</v>
      </c>
      <c r="G1" s="1" t="s">
        <v>22</v>
      </c>
      <c r="I1" s="1" t="s">
        <v>23</v>
      </c>
      <c r="J1" s="1" t="s">
        <v>24</v>
      </c>
      <c r="L1" s="1" t="s">
        <v>25</v>
      </c>
      <c r="M1" s="1" t="s">
        <v>26</v>
      </c>
    </row>
    <row r="2" customFormat="false" ht="17.15" hidden="false" customHeight="false" outlineLevel="0" collapsed="false">
      <c r="D2" s="1" t="s">
        <v>27</v>
      </c>
      <c r="E2" s="1" t="s">
        <v>28</v>
      </c>
      <c r="G2" s="1" t="s">
        <v>29</v>
      </c>
      <c r="H2" s="1" t="s">
        <v>28</v>
      </c>
      <c r="J2" s="1" t="s">
        <v>30</v>
      </c>
      <c r="K2" s="1" t="s">
        <v>28</v>
      </c>
      <c r="L2" s="1" t="s">
        <v>31</v>
      </c>
      <c r="N2" s="1" t="s">
        <v>32</v>
      </c>
      <c r="O2" s="1" t="s">
        <v>33</v>
      </c>
    </row>
    <row r="3" customFormat="false" ht="17.15" hidden="false" customHeight="false" outlineLevel="0" collapsed="false">
      <c r="A3" s="0" t="n">
        <f aca="false">ROW()-2</f>
        <v>1</v>
      </c>
      <c r="B3" s="1" t="s">
        <v>34</v>
      </c>
      <c r="C3" s="0" t="n">
        <v>210000</v>
      </c>
      <c r="D3" s="0" t="n">
        <v>80365.385383</v>
      </c>
      <c r="E3" s="0" t="n">
        <f aca="false">D3/C3</f>
        <v>0.382692311347619</v>
      </c>
      <c r="F3" s="1" t="s">
        <v>10</v>
      </c>
      <c r="G3" s="0" t="n">
        <v>20071.342271</v>
      </c>
      <c r="I3" s="0" t="n">
        <v>30000</v>
      </c>
      <c r="J3" s="0" t="n">
        <v>11639.498593</v>
      </c>
      <c r="K3" s="0" t="n">
        <f aca="false">J3/I3</f>
        <v>0.387983286433333</v>
      </c>
      <c r="L3" s="0" t="n">
        <v>38792.469466</v>
      </c>
      <c r="M3" s="0" t="n">
        <f aca="false">SUM(D3,G3,J3,L3)</f>
        <v>150868.695713</v>
      </c>
      <c r="N3" s="0" t="n">
        <f aca="false">D3/$D$13</f>
        <v>0.0838287903844844</v>
      </c>
      <c r="O3" s="0" t="n">
        <f aca="false">J3/$J$13</f>
        <v>0.0641596475618995</v>
      </c>
    </row>
    <row r="4" customFormat="false" ht="17.15" hidden="false" customHeight="false" outlineLevel="0" collapsed="false">
      <c r="A4" s="0" t="n">
        <f aca="false">ROW()-2</f>
        <v>2</v>
      </c>
      <c r="B4" s="1" t="s">
        <v>35</v>
      </c>
      <c r="C4" s="0" t="n">
        <v>390000</v>
      </c>
      <c r="D4" s="0" t="n">
        <v>128871.742082</v>
      </c>
      <c r="E4" s="0" t="n">
        <f aca="false">D4/C4</f>
        <v>0.330440364312821</v>
      </c>
      <c r="G4" s="0" t="n">
        <v>34996.209526</v>
      </c>
      <c r="I4" s="0" t="n">
        <v>0</v>
      </c>
      <c r="J4" s="0" t="n">
        <v>0</v>
      </c>
      <c r="K4" s="1" t="s">
        <v>36</v>
      </c>
      <c r="L4" s="0" t="n">
        <v>35645.491261</v>
      </c>
      <c r="M4" s="0" t="n">
        <f aca="false">SUM(D4,G4,J4,L4)</f>
        <v>199513.442869</v>
      </c>
      <c r="N4" s="0" t="n">
        <f aca="false">D4/$D$13</f>
        <v>0.134425563966257</v>
      </c>
      <c r="O4" s="0" t="n">
        <f aca="false">J4/$J$13</f>
        <v>0</v>
      </c>
    </row>
    <row r="5" customFormat="false" ht="17.15" hidden="false" customHeight="false" outlineLevel="0" collapsed="false">
      <c r="A5" s="0" t="n">
        <f aca="false">ROW()-2</f>
        <v>3</v>
      </c>
      <c r="B5" s="1" t="s">
        <v>37</v>
      </c>
      <c r="C5" s="0" t="n">
        <v>360000</v>
      </c>
      <c r="D5" s="0" t="n">
        <v>239723.490734</v>
      </c>
      <c r="E5" s="0" t="n">
        <f aca="false">D5/C5</f>
        <v>0.665898585372222</v>
      </c>
      <c r="G5" s="0" t="n">
        <v>25935.509455</v>
      </c>
      <c r="I5" s="0" t="n">
        <v>0</v>
      </c>
      <c r="J5" s="0" t="n">
        <v>0</v>
      </c>
      <c r="K5" s="1" t="s">
        <v>36</v>
      </c>
      <c r="L5" s="0" t="n">
        <v>136882.770522</v>
      </c>
      <c r="M5" s="0" t="n">
        <f aca="false">SUM(D5,G5,J5,L5)</f>
        <v>402541.770711</v>
      </c>
      <c r="N5" s="0" t="n">
        <f aca="false">D5/$D$13</f>
        <v>0.250054549719466</v>
      </c>
      <c r="O5" s="0" t="n">
        <f aca="false">J5/$J$13</f>
        <v>0</v>
      </c>
    </row>
    <row r="6" customFormat="false" ht="17.15" hidden="false" customHeight="false" outlineLevel="0" collapsed="false">
      <c r="A6" s="0" t="n">
        <f aca="false">ROW()-2</f>
        <v>4</v>
      </c>
      <c r="B6" s="1" t="s">
        <v>38</v>
      </c>
      <c r="C6" s="0" t="n">
        <v>116000</v>
      </c>
      <c r="D6" s="0" t="n">
        <v>99085.908947</v>
      </c>
      <c r="E6" s="0" t="n">
        <f aca="false">D6/C6</f>
        <v>0.854188870232759</v>
      </c>
      <c r="G6" s="0" t="n">
        <v>8809.139818</v>
      </c>
      <c r="I6" s="0" t="n">
        <v>80000</v>
      </c>
      <c r="J6" s="0" t="n">
        <v>70159.480143</v>
      </c>
      <c r="K6" s="0" t="n">
        <f aca="false">J6/I6</f>
        <v>0.8769935017875</v>
      </c>
      <c r="L6" s="0" t="n">
        <v>44945.8903</v>
      </c>
      <c r="M6" s="0" t="n">
        <f aca="false">SUM(D6,G6,J6,L6)</f>
        <v>223000.419208</v>
      </c>
      <c r="N6" s="0" t="n">
        <f aca="false">D6/$D$13</f>
        <v>0.103356088589494</v>
      </c>
      <c r="O6" s="0" t="n">
        <f aca="false">J6/$J$13</f>
        <v>0.386735518126882</v>
      </c>
    </row>
    <row r="7" customFormat="false" ht="17.15" hidden="false" customHeight="false" outlineLevel="0" collapsed="false">
      <c r="A7" s="0" t="n">
        <f aca="false">ROW()-2</f>
        <v>5</v>
      </c>
      <c r="B7" s="1" t="s">
        <v>39</v>
      </c>
      <c r="C7" s="0" t="n">
        <v>220000</v>
      </c>
      <c r="D7" s="0" t="n">
        <v>159855.412939</v>
      </c>
      <c r="E7" s="0" t="n">
        <f aca="false">D7/C7</f>
        <v>0.726615513359091</v>
      </c>
      <c r="G7" s="0" t="n">
        <v>54087.660695</v>
      </c>
      <c r="I7" s="0" t="n">
        <v>20000</v>
      </c>
      <c r="J7" s="0" t="n">
        <v>354.258281</v>
      </c>
      <c r="K7" s="0" t="n">
        <f aca="false">J7/I7</f>
        <v>0.01771291405</v>
      </c>
      <c r="L7" s="0" t="n">
        <v>0</v>
      </c>
      <c r="M7" s="0" t="n">
        <f aca="false">SUM(D7,G7,J7,L7)</f>
        <v>214297.331915</v>
      </c>
      <c r="N7" s="0" t="n">
        <f aca="false">D7/$D$13</f>
        <v>0.16674449875684</v>
      </c>
      <c r="O7" s="0" t="n">
        <f aca="false">J7/$J$13</f>
        <v>0.00195275477489328</v>
      </c>
    </row>
    <row r="8" customFormat="false" ht="17.15" hidden="false" customHeight="false" outlineLevel="0" collapsed="false">
      <c r="A8" s="0" t="n">
        <f aca="false">ROW()-2</f>
        <v>6</v>
      </c>
      <c r="B8" s="1" t="s">
        <v>40</v>
      </c>
      <c r="C8" s="0" t="n">
        <v>130000</v>
      </c>
      <c r="D8" s="0" t="n">
        <v>117547.340442</v>
      </c>
      <c r="E8" s="0" t="n">
        <f aca="false">D8/C8</f>
        <v>0.904210311092308</v>
      </c>
      <c r="G8" s="0" t="n">
        <v>40044.508739</v>
      </c>
      <c r="I8" s="0" t="n">
        <v>80000</v>
      </c>
      <c r="J8" s="0" t="n">
        <v>50704.617649</v>
      </c>
      <c r="K8" s="0" t="n">
        <f aca="false">J8/I8</f>
        <v>0.6338077206125</v>
      </c>
      <c r="L8" s="0" t="n">
        <v>0</v>
      </c>
      <c r="M8" s="0" t="n">
        <f aca="false">SUM(D8,G8,J8,L8)</f>
        <v>208296.46683</v>
      </c>
      <c r="N8" s="0" t="n">
        <f aca="false">D8/$D$13</f>
        <v>0.122613128963486</v>
      </c>
      <c r="O8" s="0" t="n">
        <f aca="false">J8/$J$13</f>
        <v>0.279495750794384</v>
      </c>
    </row>
    <row r="9" customFormat="false" ht="17.15" hidden="false" customHeight="false" outlineLevel="0" collapsed="false">
      <c r="A9" s="0" t="n">
        <f aca="false">ROW()-2</f>
        <v>7</v>
      </c>
      <c r="B9" s="1" t="s">
        <v>41</v>
      </c>
      <c r="C9" s="0" t="n">
        <v>57000</v>
      </c>
      <c r="D9" s="0" t="n">
        <v>30313.753783</v>
      </c>
      <c r="E9" s="0" t="n">
        <f aca="false">D9/C9</f>
        <v>0.531820241807018</v>
      </c>
      <c r="G9" s="0" t="n">
        <v>0</v>
      </c>
      <c r="I9" s="0" t="n">
        <v>50000</v>
      </c>
      <c r="J9" s="0" t="n">
        <v>3639.422478</v>
      </c>
      <c r="K9" s="0" t="n">
        <f aca="false">J9/I9</f>
        <v>0.07278844956</v>
      </c>
      <c r="L9" s="0" t="n">
        <v>0</v>
      </c>
      <c r="M9" s="0" t="n">
        <f aca="false">SUM(D9,G9,J9,L9)</f>
        <v>33953.176261</v>
      </c>
      <c r="N9" s="0" t="n">
        <f aca="false">D9/$D$13</f>
        <v>0.0316201471508096</v>
      </c>
      <c r="O9" s="0" t="n">
        <f aca="false">J9/$J$13</f>
        <v>0.0200613507232833</v>
      </c>
    </row>
    <row r="10" customFormat="false" ht="17.15" hidden="false" customHeight="false" outlineLevel="0" collapsed="false">
      <c r="A10" s="0" t="n">
        <f aca="false">ROW()-2</f>
        <v>8</v>
      </c>
      <c r="B10" s="1" t="s">
        <v>42</v>
      </c>
      <c r="C10" s="0" t="n">
        <v>105000</v>
      </c>
      <c r="D10" s="0" t="n">
        <v>93689.744997</v>
      </c>
      <c r="E10" s="0" t="n">
        <f aca="false">D10/C10</f>
        <v>0.892283285685714</v>
      </c>
      <c r="G10" s="0" t="n">
        <v>0</v>
      </c>
      <c r="I10" s="0" t="n">
        <v>30000</v>
      </c>
      <c r="J10" s="0" t="n">
        <v>9493.523533</v>
      </c>
      <c r="K10" s="0" t="n">
        <f aca="false">J10/I10</f>
        <v>0.316450784433333</v>
      </c>
      <c r="L10" s="0" t="n">
        <v>0</v>
      </c>
      <c r="M10" s="0" t="n">
        <f aca="false">SUM(D10,G10,J10,L10)</f>
        <v>103183.26853</v>
      </c>
      <c r="N10" s="0" t="n">
        <f aca="false">D10/$D$13</f>
        <v>0.0977273730113995</v>
      </c>
      <c r="O10" s="0" t="n">
        <f aca="false">J10/$J$13</f>
        <v>0.0523305294580467</v>
      </c>
    </row>
    <row r="11" customFormat="false" ht="17.15" hidden="false" customHeight="false" outlineLevel="0" collapsed="false">
      <c r="A11" s="0" t="n">
        <f aca="false">ROW()-2</f>
        <v>9</v>
      </c>
      <c r="B11" s="1" t="s">
        <v>43</v>
      </c>
      <c r="C11" s="0" t="n">
        <v>10000</v>
      </c>
      <c r="D11" s="0" t="n">
        <v>8180.514892</v>
      </c>
      <c r="E11" s="0" t="n">
        <f aca="false">D11/C11</f>
        <v>0.8180514892</v>
      </c>
      <c r="G11" s="0" t="n">
        <v>0</v>
      </c>
      <c r="I11" s="0" t="n">
        <v>50000</v>
      </c>
      <c r="J11" s="0" t="n">
        <v>35423.827291</v>
      </c>
      <c r="K11" s="0" t="n">
        <f aca="false">J11/I11</f>
        <v>0.70847654582</v>
      </c>
      <c r="L11" s="0" t="n">
        <v>0</v>
      </c>
      <c r="M11" s="0" t="n">
        <f aca="false">SUM(D11,G11,J11,L11)</f>
        <v>43604.342183</v>
      </c>
      <c r="N11" s="0" t="n">
        <f aca="false">D11/$D$13</f>
        <v>0.00853306015830646</v>
      </c>
      <c r="O11" s="0" t="n">
        <f aca="false">J11/$J$13</f>
        <v>0.195264448560611</v>
      </c>
    </row>
    <row r="12" customFormat="false" ht="17.15" hidden="false" customHeight="false" outlineLevel="0" collapsed="false">
      <c r="A12" s="0" t="n">
        <f aca="false">ROW()-2</f>
        <v>10</v>
      </c>
      <c r="B12" s="1" t="s">
        <v>44</v>
      </c>
      <c r="C12" s="0" t="n">
        <v>2000</v>
      </c>
      <c r="D12" s="0" t="n">
        <v>1051.484794</v>
      </c>
      <c r="E12" s="0" t="n">
        <f aca="false">D12/C12</f>
        <v>0.525742397</v>
      </c>
      <c r="G12" s="0" t="n">
        <v>0</v>
      </c>
      <c r="I12" s="0" t="n">
        <v>0</v>
      </c>
      <c r="J12" s="0" t="n">
        <v>0</v>
      </c>
      <c r="K12" s="1" t="s">
        <v>36</v>
      </c>
      <c r="L12" s="0" t="n">
        <v>0</v>
      </c>
      <c r="M12" s="0" t="n">
        <f aca="false">SUM(D12,G12,J12,L12)</f>
        <v>1051.484794</v>
      </c>
      <c r="N12" s="0" t="n">
        <f aca="false">D12/$D$13</f>
        <v>0.00109679929945741</v>
      </c>
      <c r="O12" s="0" t="n">
        <f aca="false">J12/$J$13</f>
        <v>0</v>
      </c>
    </row>
    <row r="13" customFormat="false" ht="15" hidden="false" customHeight="false" outlineLevel="0" collapsed="false">
      <c r="B13" s="1" t="s">
        <v>12</v>
      </c>
      <c r="C13" s="0" t="n">
        <f aca="false">SUM(C3:C12)</f>
        <v>1600000</v>
      </c>
      <c r="D13" s="0" t="n">
        <f aca="false">SUM(D3:D12)</f>
        <v>958684.778993</v>
      </c>
      <c r="E13" s="0" t="n">
        <f aca="false">D13/C13</f>
        <v>0.599177986870625</v>
      </c>
      <c r="G13" s="0" t="n">
        <f aca="false">SUM(G3:G12)</f>
        <v>183944.370504</v>
      </c>
      <c r="I13" s="0" t="n">
        <f aca="false">SUM(I3:I12)</f>
        <v>340000</v>
      </c>
      <c r="J13" s="0" t="n">
        <f aca="false">SUM(J3:J12)</f>
        <v>181414.627968</v>
      </c>
      <c r="K13" s="0" t="n">
        <f aca="false">J13/I13</f>
        <v>0.5335724352</v>
      </c>
      <c r="L13" s="0" t="n">
        <f aca="false">SUM(L3:L12)</f>
        <v>256266.621549</v>
      </c>
      <c r="M13" s="0" t="n">
        <f aca="false">SUM(M3:M12)</f>
        <v>1580310.399014</v>
      </c>
      <c r="N13" s="0" t="n">
        <f aca="false">D13/$D$13</f>
        <v>1</v>
      </c>
      <c r="O13" s="0" t="n">
        <f aca="false">J13/$J$13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2026-10-19T17:14:31Z</dcterms:created>
  <dc:creator>openpyxl</dc:creator>
  <dc:description/>
  <dc:language>en-US</dc:language>
  <cp:lastModifiedBy/>
  <dcterms:modified xsi:type="dcterms:W3CDTF">2026-10-19T17:14:31Z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