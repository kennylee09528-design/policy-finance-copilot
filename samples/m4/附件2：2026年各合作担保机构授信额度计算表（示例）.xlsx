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计算表" sheetId="1" state="visible" r:id="rId3"/>
    <sheet name="合作业务授信额度申请表" sheetId="2" state="visible" r:id="rId4"/>
    <sheet name="2025年民投" sheetId="3" state="visible" r:id="rId5"/>
    <sheet name="2025年规模" sheetId="4" state="visible" r:id="rId6"/>
    <sheet name="就业人数" sheetId="5" state="visible" r:id="rId7"/>
    <sheet name="支小支农业务统计表" sheetId="6" state="visible" r:id="rId8"/>
    <sheet name="近3年累计代偿率" sheetId="7" state="visible" r:id="rId9"/>
    <sheet name="2025年代偿率" sheetId="8" state="visible" r:id="rId10"/>
    <sheet name="2025年机构评价" sheetId="9" state="visible" r:id="rId11"/>
    <sheet name="2025年互联网落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<sst xmlns="http://schemas.openxmlformats.org/spreadsheetml/2006/main" count="222" uniqueCount="89">
  <si>
    <t xml:space="preserve">序号</t>
  </si>
  <si>
    <t xml:space="preserve">机构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</si>
  <si>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年常规（含创业、科技）额度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</si>
  <si>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年民间专项额度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</si>
  <si>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年工行预计规模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地方版，不含总对总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</si>
  <si>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年工行实际发生金额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</si>
  <si>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年预计工行发生额（以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年增加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测算）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</si>
  <si>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年符合民投金额（扣工行、邮储、展期类、扣除银行分险不超过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</si>
  <si>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年规模</t>
    </r>
  </si>
  <si>
    <t xml:space="preserve">系数</t>
  </si>
  <si>
    <t xml:space="preserve">就业贡献指标</t>
  </si>
  <si>
    <t xml:space="preserve">支小支农比例</t>
  </si>
  <si>
    <t xml:space="preserve">累计担保代偿率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</si>
  <si>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年担保代偿率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</si>
  <si>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年机构评价数</t>
    </r>
  </si>
  <si>
    <t xml:space="preserve">总系数</t>
  </si>
  <si>
    <t xml:space="preserve">根据注册资本调整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</si>
  <si>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年第一次调整后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</si>
  <si>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年第二次调整后</t>
    </r>
  </si>
  <si>
    <t xml:space="preserve">是否满足工行</t>
  </si>
  <si>
    <t xml:space="preserve">第三次调整</t>
  </si>
  <si>
    <t xml:space="preserve">第四次调整</t>
  </si>
  <si>
    <t xml:space="preserve">第五次调整</t>
  </si>
  <si>
    <t xml:space="preserve">第六次调整</t>
  </si>
  <si>
    <r>
      <rPr>
        <sz val="11"/>
        <color theme="1"/>
        <rFont val="Noto Sans CJK SC"/>
        <family val="2"/>
      </rPr>
      <t xml:space="preserve">其中科技创新计划额度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第一次</t>
    </r>
    <r>
      <rPr>
        <sz val="11"/>
        <color theme="1"/>
        <rFont val="Calibri"/>
        <family val="2"/>
        <charset val="1"/>
      </rPr>
      <t xml:space="preserve">)</t>
    </r>
  </si>
  <si>
    <t xml:space="preserve">其中科技创新计划额度（第二次）</t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</si>
  <si>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日备案金额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</si>
  <si>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年互联网银行落地规模</t>
    </r>
  </si>
  <si>
    <t xml:space="preserve">已备案占比</t>
  </si>
  <si>
    <r>
      <rPr>
        <sz val="11"/>
        <color theme="1"/>
        <rFont val="Noto Sans CJK SC"/>
        <family val="2"/>
      </rPr>
      <t xml:space="preserve">机构总额度（第六次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民投）</t>
    </r>
  </si>
  <si>
    <t xml:space="preserve">变小机构</t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</si>
  <si>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</si>
  <si>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</si>
  <si>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</si>
  <si>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</si>
  <si>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</si>
  <si>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</si>
  <si>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</si>
  <si>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</si>
  <si>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I</t>
    </r>
  </si>
  <si>
    <t xml:space="preserve">固定额度</t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</si>
  <si>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J</t>
    </r>
  </si>
  <si>
    <t xml:space="preserve">合作业务授信额度申请表（示例）</t>
  </si>
  <si>
    <t xml:space="preserve">合作机构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</si>
  <si>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年度常规业务申请额度（不含科技担保专项、民间投资专项及国担“总对总”业务额度）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</si>
  <si>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年度科技担保专项申请额度</t>
    </r>
  </si>
  <si>
    <t xml:space="preserve">民间投资专项担保计划申请额度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</si>
  <si>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年注册资本增加情况</t>
    </r>
  </si>
  <si>
    <t xml:space="preserve">小计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</si>
  <si>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</si>
  <si>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年度</t>
    </r>
  </si>
  <si>
    <t xml:space="preserve">是否增资</t>
  </si>
  <si>
    <t xml:space="preserve">增资总额</t>
  </si>
  <si>
    <t xml:space="preserve">是</t>
  </si>
  <si>
    <t xml:space="preserve">否</t>
  </si>
  <si>
    <t xml:space="preserve">合计</t>
  </si>
  <si>
    <t xml:space="preserve">符合民投</t>
  </si>
  <si>
    <t xml:space="preserve">邮储</t>
  </si>
  <si>
    <t xml:space="preserve">符合民投（扣除邮储）</t>
  </si>
  <si>
    <t xml:space="preserve">直担机构名称</t>
  </si>
  <si>
    <r>
      <rPr>
        <sz val="11"/>
        <color theme="1"/>
        <rFont val="Noto Sans CJK SC"/>
        <family val="2"/>
      </rPr>
      <t xml:space="preserve">求和项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主债权金额（万元）</t>
    </r>
  </si>
  <si>
    <t xml:space="preserve">总计</t>
  </si>
  <si>
    <t xml:space="preserve">机构业务规模分析</t>
  </si>
  <si>
    <r>
      <rPr>
        <sz val="11"/>
        <color theme="1"/>
        <rFont val="Noto Sans CJK SC"/>
        <family val="2"/>
      </rPr>
      <t xml:space="preserve">备案时间： </t>
    </r>
    <r>
      <rPr>
        <sz val="11"/>
        <color theme="1"/>
        <rFont val="Calibri"/>
        <family val="2"/>
        <charset val="1"/>
      </rPr>
      <t xml:space="preserve">2025-01-01 - 2025-12-31</t>
    </r>
    <r>
      <rPr>
        <sz val="11"/>
        <color theme="1"/>
        <rFont val="Noto Sans CJK SC"/>
        <family val="2"/>
      </rPr>
      <t xml:space="preserve">（示例数据）</t>
    </r>
  </si>
  <si>
    <r>
      <rPr>
        <sz val="11"/>
        <color theme="1"/>
        <rFont val="Noto Sans CJK SC"/>
        <family val="2"/>
      </rPr>
      <t xml:space="preserve">单位：万元、笔、户、</t>
    </r>
    <r>
      <rPr>
        <sz val="11"/>
        <color theme="1"/>
        <rFont val="Calibri"/>
        <family val="2"/>
        <charset val="1"/>
      </rPr>
      <t xml:space="preserve">%</t>
    </r>
  </si>
  <si>
    <t xml:space="preserve">机构名称</t>
  </si>
  <si>
    <t xml:space="preserve">规模</t>
  </si>
  <si>
    <t xml:space="preserve">笔数</t>
  </si>
  <si>
    <t xml:space="preserve">户数</t>
  </si>
  <si>
    <t xml:space="preserve">占比</t>
  </si>
  <si>
    <t xml:space="preserve">同比</t>
  </si>
  <si>
    <t xml:space="preserve">-</t>
  </si>
  <si>
    <t xml:space="preserve">备注：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</si>
  <si>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、业务规模：统计期内已确认备案的业务累计主债权金额合计（示例数据，虚构）。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</si>
  <si>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、占比：统计金额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总数</t>
    </r>
    <r>
      <rPr>
        <sz val="11"/>
        <color theme="1"/>
        <rFont val="Calibri"/>
        <family val="2"/>
        <charset val="1"/>
      </rPr>
      <t xml:space="preserve">×100%</t>
    </r>
    <r>
      <rPr>
        <sz val="11"/>
        <color theme="1"/>
        <rFont val="Noto Sans CJK SC"/>
        <family val="2"/>
      </rPr>
      <t xml:space="preserve">。</t>
    </r>
  </si>
  <si>
    <t xml:space="preserve">新增业务就业规模机构分析（示例）</t>
  </si>
  <si>
    <r>
      <rPr>
        <sz val="11"/>
        <color theme="1"/>
        <rFont val="Noto Sans CJK SC"/>
        <family val="2"/>
      </rPr>
      <t xml:space="preserve">统计年度：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年（示例数据）</t>
    </r>
  </si>
  <si>
    <t xml:space="preserve">全省平均</t>
  </si>
  <si>
    <t xml:space="preserve">人数</t>
  </si>
  <si>
    <t xml:space="preserve">户均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</si>
  <si>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、示例数据，虚构。</t>
    </r>
  </si>
  <si>
    <t xml:space="preserve">支小支农业务统计表（示例）</t>
  </si>
  <si>
    <t xml:space="preserve">支小支农</t>
  </si>
  <si>
    <t xml:space="preserve">业务规模</t>
  </si>
  <si>
    <t xml:space="preserve">规模占比</t>
  </si>
  <si>
    <t xml:space="preserve">机构代偿业务分析（示例）</t>
  </si>
  <si>
    <t xml:space="preserve">再保代偿率</t>
  </si>
  <si>
    <t xml:space="preserve">担保代偿率
（监管口径）</t>
  </si>
  <si>
    <t xml:space="preserve">分数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</si>
</sst>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1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9</v>
      </c>
      <c r="O1" s="1" t="s">
        <v>12</v>
      </c>
      <c r="P1" s="1" t="s">
        <v>9</v>
      </c>
      <c r="Q1" s="0" t="s">
        <v>13</v>
      </c>
      <c r="R1" s="1" t="s">
        <v>9</v>
      </c>
      <c r="S1" s="0" t="s">
        <v>14</v>
      </c>
      <c r="T1" s="1" t="s">
        <v>9</v>
      </c>
      <c r="U1" s="1" t="s">
        <v>15</v>
      </c>
      <c r="V1" s="1" t="s">
        <v>16</v>
      </c>
      <c r="W1" s="0" t="s">
        <v>17</v>
      </c>
      <c r="X1" s="0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0" t="s">
        <v>27</v>
      </c>
      <c r="AH1" s="1" t="s">
        <v>28</v>
      </c>
      <c r="AI1" s="1" t="s">
        <v>29</v>
      </c>
      <c r="AJ1" s="1" t="s">
        <v>30</v>
      </c>
    </row>
    <row r="2" customFormat="false" ht="17.15" hidden="false" customHeight="false" outlineLevel="0" collapsed="false">
      <c r="A2" s="0" t="n">
        <f aca="false">MAX($A$1:A1)+1</f>
        <v>1</v>
      </c>
      <c r="B2" s="1" t="s">
        <v>31</v>
      </c>
      <c r="C2" s="0" t="n">
        <f aca="false" t="array" ref="C2:C2">_xlfn._xlws.FILTER(合作业务授信额度申请表!$C$5:$C$14,合作业务授信额度申请表!$B$5:$B$14=B2)+_xlfn._xlws.FILTER(合作业务授信额度申请表!$D$5:$D$14,合作业务授信额度申请表!$B$5:$B$14=B2)</f>
        <v>639000</v>
      </c>
      <c r="D2" s="0" t="n">
        <f aca="false" t="array" ref="D2:D2">_xlfn._xlws.FILTER(合作业务授信额度申请表!$F$5:$F$14,合作业务授信额度申请表!$B$5:$B$14=B2)</f>
        <v>30000</v>
      </c>
      <c r="E2" s="0" t="n">
        <v>190000</v>
      </c>
      <c r="F2" s="0" t="n">
        <v>27409.52</v>
      </c>
      <c r="G2" s="0" t="n">
        <f aca="false">F2*1.3</f>
        <v>35632.376</v>
      </c>
      <c r="H2" s="0" t="n">
        <f aca="false" t="array" ref="H2:H2">IFERROR(_xlfn._xlws.FILTER(2025年民投!$H$2:$H$10,2025年民投!$G$2:$G$10=B2),0)</f>
        <v>2588.648014</v>
      </c>
      <c r="I2" s="0" t="n">
        <f aca="false" t="array" ref="I2:I2">_xlfn._xlws.FILTER(2025年规模!$D$7:$D$16,2025年规模!$C$7:$C$16=B2)</f>
        <v>247889.783751</v>
      </c>
      <c r="J2" s="0" t="n">
        <f aca="false">I2/10000</f>
        <v>24.7889783751</v>
      </c>
      <c r="K2" s="0" t="n">
        <f aca="false" t="array" ref="K2:K2">_xlfn._xlws.FILTER(就业人数!$E$7:$E$16,就业人数!$C$7:$C$16=B2)/(I2+50000)*10000</f>
        <v>1067.13965144141</v>
      </c>
      <c r="L2" s="0" t="n">
        <f aca="false">K2/就业人数!$F$3</f>
        <v>0.984781503078579</v>
      </c>
      <c r="M2" s="0" t="n">
        <f aca="false" t="array" ref="M2:M2">ROUND(_xlfn._xlws.FILTER(支小支农业务统计表!$E$7:$E$16,支小支农业务统计表!$C$7:$C$16=B2),2)/100</f>
        <v>0.7302</v>
      </c>
      <c r="N2" s="0" t="n">
        <f aca="false">_xlfn.SWITCH(TRUE(),M2&gt;=90%,1,M2/90%)</f>
        <v>0.811333333333333</v>
      </c>
      <c r="O2" s="0" t="n">
        <f aca="false" t="array" ref="O2:O2">_xlfn._xlws.FILTER(近3年累计代偿率!$J$7:$J$16,近3年累计代偿率!$C$7:$C$16=B2)/100</f>
        <v>0.0351277</v>
      </c>
      <c r="P2" s="0" t="n">
        <f aca="false">MAX(1-(O2-近3年累计代偿率!$J$3)/近3年累计代偿率!$J$3,0.5)</f>
        <v>0.5</v>
      </c>
      <c r="Q2" s="0" t="n">
        <f aca="false" t="array" ref="Q2:Q2">_xlfn._xlws.FILTER(2025年代偿率!$J$7:$J$16,2025年代偿率!$C$7:$C$16=B2)/100</f>
        <v>0.04183328</v>
      </c>
      <c r="R2" s="0" t="n">
        <f aca="false">MAX(1-(Q2-2025年代偿率!$J$3)/2025年代偿率!$J$3,0.5)</f>
        <v>0.557059988665163</v>
      </c>
      <c r="S2" s="0" t="n">
        <f aca="false" t="array" ref="S2:S2">_xlfn._xlws.FILTER(2025年机构评价!$C$2:$C$10,2025年机构评价!$B$2:$B$10=B2)</f>
        <v>67.66</v>
      </c>
      <c r="T2" s="0" t="n">
        <f aca="false">S2/100</f>
        <v>0.6766</v>
      </c>
      <c r="U2" s="0" t="n">
        <f aca="false">J2*(L2*0.2+N2*0.2+P2*0.1+R2*0.1+T2*0.4)</f>
        <v>18.2340031952597</v>
      </c>
      <c r="V2" s="0" t="n">
        <f aca="false" t="array" ref="V2:V2">ROUND(IFERROR(_xlfn._xlws.FILTER(合作业务授信额度申请表!$I$5:$I$14,合作业务授信额度申请表!$B$5:$B$14=B2),"")*2/1000,0)*1000</f>
        <v>29000</v>
      </c>
      <c r="W2" s="0" t="n">
        <f aca="false">I2+V2-H2</f>
        <v>274301.135737</v>
      </c>
      <c r="X2" s="0" t="n">
        <f aca="false">ROUND((SUM($W$2:$W$9))*U2/SUM($U$2:$U$9),0)</f>
        <v>183478</v>
      </c>
      <c r="Y2" s="0" t="n">
        <f aca="false">IF(G2&gt;0,X2-G2,"")</f>
        <v>147845.624</v>
      </c>
      <c r="Z2" s="0" t="n">
        <f aca="false">X2</f>
        <v>183478</v>
      </c>
      <c r="AA2" s="0" t="n">
        <f aca="false">Z2</f>
        <v>183478</v>
      </c>
      <c r="AB2" s="0" t="n">
        <f aca="false">ROUND(IF(ROUND(AA2/10000,0)*10000=0,10000,ROUND(AA2/1000,0)*1000)/10000,0)*10000</f>
        <v>180000</v>
      </c>
      <c r="AC2" s="0" t="n">
        <f aca="false">AB2+IF(AH2&gt;=40%,20000,0)</f>
        <v>200000</v>
      </c>
      <c r="AD2" s="0" t="n">
        <f aca="false" t="array" ref="AD2:AD2">ROUND(IFERROR(400000*_xlfn._xlws.FILTER(合作业务授信额度申请表!$D$5:$D$14,合作业务授信额度申请表!$B$5:$B$14=B2)/SUM(合作业务授信额度申请表!$D$5:$D$14),"")/1000,0)*1000</f>
        <v>42000</v>
      </c>
      <c r="AE2" s="0" t="n">
        <v>10000</v>
      </c>
      <c r="AF2" s="0" t="n">
        <v>76025.258765</v>
      </c>
      <c r="AG2" s="0" t="n">
        <f aca="false" t="array" ref="AG2:AG2">IFERROR(_xlfn._xlws.FILTER(2025年互联网落地!$C$3:$C$9,2025年互联网落地!$B$3:$B$9=B2),"")</f>
        <v>12572.285517</v>
      </c>
      <c r="AH2" s="0" t="n">
        <f aca="false">AF2/AB2</f>
        <v>0.422362548694444</v>
      </c>
      <c r="AI2" s="0" t="n">
        <f aca="false">AC2+D2</f>
        <v>230000</v>
      </c>
      <c r="AJ2" s="0" t="n">
        <f aca="false">AC2-I2</f>
        <v>-47889.783751</v>
      </c>
    </row>
    <row r="3" customFormat="false" ht="17.15" hidden="false" customHeight="false" outlineLevel="0" collapsed="false">
      <c r="A3" s="0" t="n">
        <f aca="false">MAX($A$1:A2)+1</f>
        <v>2</v>
      </c>
      <c r="B3" s="1" t="s">
        <v>32</v>
      </c>
      <c r="C3" s="0" t="n">
        <f aca="false" t="array" ref="C3:C3">_xlfn._xlws.FILTER(合作业务授信额度申请表!$C$5:$C$14,合作业务授信额度申请表!$B$5:$B$14=B3)+_xlfn._xlws.FILTER(合作业务授信额度申请表!$D$5:$D$14,合作业务授信额度申请表!$B$5:$B$14=B3)</f>
        <v>335000</v>
      </c>
      <c r="D3" s="0" t="n">
        <f aca="false" t="array" ref="D3:D3">_xlfn._xlws.FILTER(合作业务授信额度申请表!$F$5:$F$14,合作业务授信额度申请表!$B$5:$B$14=B3)</f>
        <v>0</v>
      </c>
      <c r="E3" s="0" t="n">
        <v>60000</v>
      </c>
      <c r="F3" s="0" t="n">
        <v>23925.6</v>
      </c>
      <c r="G3" s="0" t="n">
        <f aca="false">F3*1.3</f>
        <v>31103.28</v>
      </c>
      <c r="H3" s="0" t="n">
        <f aca="false" t="array" ref="H3:H3">IFERROR(_xlfn._xlws.FILTER(2025年民投!$H$2:$H$10,2025年民投!$G$2:$G$10=B3),0)</f>
        <v>96885.468643</v>
      </c>
      <c r="I3" s="0" t="n">
        <f aca="false" t="array" ref="I3:I3">_xlfn._xlws.FILTER(2025年规模!$D$7:$D$16,2025年规模!$C$7:$C$16=B3)</f>
        <v>386680.815798</v>
      </c>
      <c r="J3" s="0" t="n">
        <f aca="false">I3/10000</f>
        <v>38.6680815798</v>
      </c>
      <c r="K3" s="0" t="n">
        <f aca="false" t="array" ref="K3:K3">_xlfn._xlws.FILTER(就业人数!$E$7:$E$16,就业人数!$C$7:$C$16=B3)/I3*10000</f>
        <v>1278.39287547752</v>
      </c>
      <c r="L3" s="0" t="n">
        <f aca="false">K3/就业人数!$F$3</f>
        <v>1.17973093375101</v>
      </c>
      <c r="M3" s="0" t="n">
        <f aca="false" t="array" ref="M3:M3">ROUND(_xlfn._xlws.FILTER(支小支农业务统计表!$E$7:$E$16,支小支农业务统计表!$C$7:$C$16=B3),2)/100</f>
        <v>0.8849</v>
      </c>
      <c r="N3" s="0" t="n">
        <f aca="false">_xlfn.SWITCH(TRUE(),M3&gt;=90%,1,M3/90%)</f>
        <v>0.983222222222222</v>
      </c>
      <c r="O3" s="0" t="n">
        <f aca="false" t="array" ref="O3:O3">_xlfn._xlws.FILTER(近3年累计代偿率!$J$7:$J$16,近3年累计代偿率!$C$7:$C$16=B3)/100</f>
        <v>0.0389919</v>
      </c>
      <c r="P3" s="0" t="n">
        <f aca="false">MAX(1-(O3-近3年累计代偿率!$J$3)/近3年累计代偿率!$J$3,0.5)</f>
        <v>0.5</v>
      </c>
      <c r="Q3" s="0" t="n">
        <f aca="false" t="array" ref="Q3:Q3">_xlfn._xlws.FILTER(2025年代偿率!$J$7:$J$16,2025年代偿率!$C$7:$C$16=B3)/100</f>
        <v>0.02822715</v>
      </c>
      <c r="R3" s="0" t="n">
        <f aca="false">MAX(1-(Q3-2025年代偿率!$J$3)/2025年代偿率!$J$3,0.5)</f>
        <v>1.0263712493749</v>
      </c>
      <c r="S3" s="0" t="n">
        <f aca="false" t="array" ref="S3:S3">_xlfn._xlws.FILTER(2025年机构评价!$C$2:$C$10,2025年机构评价!$B$2:$B$10=B3)</f>
        <v>92.48</v>
      </c>
      <c r="T3" s="0" t="n">
        <f aca="false">S3/100</f>
        <v>0.9248</v>
      </c>
      <c r="U3" s="0" t="n">
        <f aca="false">J3*(L3*0.2+N3*0.2+P3*0.1+R3*0.1+T3*0.4)</f>
        <v>36.9337313548803</v>
      </c>
      <c r="V3" s="0" t="n">
        <f aca="false" t="array" ref="V3:V3">ROUND(IFERROR(_xlfn._xlws.FILTER(合作业务授信额度申请表!$I$5:$I$14,合作业务授信额度申请表!$B$5:$B$14=B3),"")*2/1000,0)*1000</f>
        <v>20000</v>
      </c>
      <c r="W3" s="0" t="n">
        <f aca="false">I3+V3-H3</f>
        <v>309795.347155</v>
      </c>
      <c r="X3" s="0" t="n">
        <f aca="false">ROUND((SUM($W$2:$W$9))*U3/SUM($U$2:$U$9),0)</f>
        <v>371643</v>
      </c>
      <c r="Y3" s="0" t="n">
        <f aca="false">IF(G3&gt;0,X3-G3,"")</f>
        <v>340539.72</v>
      </c>
      <c r="Z3" s="0" t="n">
        <f aca="false">X3</f>
        <v>371643</v>
      </c>
      <c r="AA3" s="0" t="n">
        <f aca="false">Z3</f>
        <v>371643</v>
      </c>
      <c r="AB3" s="0" t="n">
        <f aca="false">ROUND(IF(ROUND(AA3/10000,0)*10000=0,10000,ROUND(AA3/1000,0)*1000)/10000,0)*10000</f>
        <v>370000</v>
      </c>
      <c r="AC3" s="0" t="n">
        <f aca="false">AB3+IF(AH3&gt;=40%,20000,0)</f>
        <v>390000</v>
      </c>
      <c r="AD3" s="0" t="n">
        <f aca="false" t="array" ref="AD3:AD3">ROUND(IFERROR(400000*_xlfn._xlws.FILTER(合作业务授信额度申请表!$D$5:$D$14,合作业务授信额度申请表!$B$5:$B$14=B3)/SUM(合作业务授信额度申请表!$D$5:$D$14),"")/1000,0)*1000</f>
        <v>105000</v>
      </c>
      <c r="AE3" s="0" t="n">
        <v>45000</v>
      </c>
      <c r="AF3" s="0" t="n">
        <v>217496.269283</v>
      </c>
      <c r="AG3" s="0" t="n">
        <f aca="false" t="array" ref="AG3:AG3">IFERROR(_xlfn._xlws.FILTER(2025年互联网落地!$C$3:$C$9,2025年互联网落地!$B$3:$B$9=B3),"")</f>
        <v>9077.232023</v>
      </c>
      <c r="AH3" s="0" t="n">
        <f aca="false">AF3/AB3</f>
        <v>0.587827754818919</v>
      </c>
      <c r="AI3" s="0" t="n">
        <f aca="false">AC3+D3</f>
        <v>390000</v>
      </c>
      <c r="AJ3" s="0" t="n">
        <f aca="false">AC3-I3</f>
        <v>3319.18420199998</v>
      </c>
    </row>
    <row r="4" customFormat="false" ht="17.15" hidden="false" customHeight="false" outlineLevel="0" collapsed="false">
      <c r="A4" s="0" t="n">
        <f aca="false">MAX($A$1:A3)+1</f>
        <v>3</v>
      </c>
      <c r="B4" s="1" t="s">
        <v>33</v>
      </c>
      <c r="C4" s="0" t="n">
        <f aca="false" t="array" ref="C4:C4">_xlfn._xlws.FILTER(合作业务授信额度申请表!$C$5:$C$14,合作业务授信额度申请表!$B$5:$B$14=B4)+_xlfn._xlws.FILTER(合作业务授信额度申请表!$D$5:$D$14,合作业务授信额度申请表!$B$5:$B$14=B4)</f>
        <v>397000</v>
      </c>
      <c r="D4" s="0" t="n">
        <f aca="false" t="array" ref="D4:D4">_xlfn._xlws.FILTER(合作业务授信额度申请表!$F$5:$F$14,合作业务授信额度申请表!$B$5:$B$14=B4)</f>
        <v>0</v>
      </c>
      <c r="E4" s="0" t="n">
        <v>270000</v>
      </c>
      <c r="F4" s="0" t="n">
        <v>20559.44</v>
      </c>
      <c r="G4" s="0" t="n">
        <f aca="false">F4*1.3</f>
        <v>26727.272</v>
      </c>
      <c r="H4" s="0" t="n">
        <f aca="false" t="array" ref="H4:H4">IFERROR(_xlfn._xlws.FILTER(2025年民投!$H$2:$H$10,2025年民投!$G$2:$G$10=B4),0)</f>
        <v>84733.792936</v>
      </c>
      <c r="I4" s="0" t="n">
        <f aca="false" t="array" ref="I4:I4">_xlfn._xlws.FILTER(2025年规模!$D$7:$D$16,2025年规模!$C$7:$C$16=B4)</f>
        <v>382647.787217</v>
      </c>
      <c r="J4" s="0" t="n">
        <f aca="false">I4/10000</f>
        <v>38.2647787217</v>
      </c>
      <c r="K4" s="0" t="n">
        <f aca="false" t="array" ref="K4:K4">_xlfn._xlws.FILTER(就业人数!$E$7:$E$16,就业人数!$C$7:$C$16=B4)/I4*10000</f>
        <v>1072.68358451849</v>
      </c>
      <c r="L4" s="0" t="n">
        <f aca="false">K4/就业人数!$F$3</f>
        <v>0.989897574570475</v>
      </c>
      <c r="M4" s="0" t="n">
        <f aca="false" t="array" ref="M4:M4">ROUND(_xlfn._xlws.FILTER(支小支农业务统计表!$E$7:$E$16,支小支农业务统计表!$C$7:$C$16=B4),2)/100</f>
        <v>0.7855</v>
      </c>
      <c r="N4" s="0" t="n">
        <f aca="false">_xlfn.SWITCH(TRUE(),M4&gt;=90%,1,M4/90%)</f>
        <v>0.872777777777778</v>
      </c>
      <c r="O4" s="0" t="n">
        <f aca="false" t="array" ref="O4:O4">_xlfn._xlws.FILTER(近3年累计代偿率!$J$7:$J$16,近3年累计代偿率!$C$7:$C$16=B4)/100</f>
        <v>0.02627523</v>
      </c>
      <c r="P4" s="0" t="n">
        <f aca="false">MAX(1-(O4-近3年累计代偿率!$J$3)/近3年累计代偿率!$J$3,0.5)</f>
        <v>0.875776200659527</v>
      </c>
      <c r="Q4" s="0" t="n">
        <f aca="false" t="array" ref="Q4:Q4">_xlfn._xlws.FILTER(2025年代偿率!$J$7:$J$16,2025年代偿率!$C$7:$C$16=B4)/100</f>
        <v>0.04294143</v>
      </c>
      <c r="R4" s="0" t="n">
        <f aca="false">MAX(1-(Q4-2025年代偿率!$J$3)/2025年代偿率!$J$3,0.5)</f>
        <v>0.518836976423218</v>
      </c>
      <c r="S4" s="0" t="n">
        <f aca="false" t="array" ref="S4:S4">_xlfn._xlws.FILTER(2025年机构评价!$C$2:$C$10,2025年机构评价!$B$2:$B$10=B4)</f>
        <v>91.25</v>
      </c>
      <c r="T4" s="0" t="n">
        <f aca="false">S4/100</f>
        <v>0.9125</v>
      </c>
      <c r="U4" s="0" t="n">
        <f aca="false">J4*(L4*0.2+N4*0.2+P4*0.1+R4*0.1+T4*0.4)</f>
        <v>33.5580727333584</v>
      </c>
      <c r="V4" s="0" t="n">
        <f aca="false" t="array" ref="V4:V4">ROUND(IFERROR(_xlfn._xlws.FILTER(合作业务授信额度申请表!$I$5:$I$14,合作业务授信额度申请表!$B$5:$B$14=B4),"")*2/1000,0)*1000</f>
        <v>28000</v>
      </c>
      <c r="W4" s="0" t="n">
        <f aca="false">I4+V4-H4</f>
        <v>325913.994281</v>
      </c>
      <c r="X4" s="0" t="n">
        <f aca="false">ROUND((SUM($W$2:$W$9))*U4/SUM($U$2:$U$9),0)</f>
        <v>337676</v>
      </c>
      <c r="Y4" s="0" t="n">
        <f aca="false">IF(G4&gt;0,X4-G4,"")</f>
        <v>310948.728</v>
      </c>
      <c r="Z4" s="0" t="n">
        <f aca="false">X4</f>
        <v>337676</v>
      </c>
      <c r="AA4" s="0" t="n">
        <f aca="false">Z4</f>
        <v>337676</v>
      </c>
      <c r="AB4" s="0" t="n">
        <f aca="false">ROUND(IF(ROUND(AA4/10000,0)*10000=0,10000,ROUND(AA4/1000,0)*1000)/10000,0)*10000</f>
        <v>340000</v>
      </c>
      <c r="AC4" s="0" t="n">
        <f aca="false">AB4+IF(AH4&gt;=40%,20000,0)</f>
        <v>360000</v>
      </c>
      <c r="AD4" s="0" t="n">
        <f aca="false" t="array" ref="AD4:AD4">ROUND(IFERROR(400000*_xlfn._xlws.FILTER(合作业务授信额度申请表!$D$5:$D$14,合作业务授信额度申请表!$B$5:$B$14=B4)/SUM(合作业务授信额度申请表!$D$5:$D$14),"")/1000,0)*1000</f>
        <v>0</v>
      </c>
      <c r="AE4" s="0" t="n">
        <v>38000</v>
      </c>
      <c r="AF4" s="0" t="n">
        <v>157682.877995</v>
      </c>
      <c r="AG4" s="0" t="n">
        <f aca="false" t="array" ref="AG4:AG4">IFERROR(_xlfn._xlws.FILTER(2025年互联网落地!$C$3:$C$9,2025年互联网落地!$B$3:$B$9=B4),"")</f>
        <v>83729.057</v>
      </c>
      <c r="AH4" s="0" t="n">
        <f aca="false">AF4/AB4</f>
        <v>0.463773170573529</v>
      </c>
      <c r="AI4" s="0" t="n">
        <f aca="false">AC4+D4</f>
        <v>360000</v>
      </c>
      <c r="AJ4" s="0" t="n">
        <f aca="false">AC4-I4</f>
        <v>-22647.787217</v>
      </c>
    </row>
    <row r="5" customFormat="false" ht="17.15" hidden="false" customHeight="false" outlineLevel="0" collapsed="false">
      <c r="A5" s="0" t="n">
        <f aca="false">MAX($A$1:A4)+1</f>
        <v>4</v>
      </c>
      <c r="B5" s="1" t="s">
        <v>34</v>
      </c>
      <c r="C5" s="0" t="n">
        <f aca="false" t="array" ref="C5:C5">_xlfn._xlws.FILTER(合作业务授信额度申请表!$C$5:$C$14,合作业务授信额度申请表!$B$5:$B$14=B5)+_xlfn._xlws.FILTER(合作业务授信额度申请表!$D$5:$D$14,合作业务授信额度申请表!$B$5:$B$14=B5)</f>
        <v>413000</v>
      </c>
      <c r="D5" s="0" t="n">
        <f aca="false" t="array" ref="D5:D5">_xlfn._xlws.FILTER(合作业务授信额度申请表!$F$5:$F$14,合作业务授信额度申请表!$B$5:$B$14=B5)</f>
        <v>80000</v>
      </c>
      <c r="G5" s="0" t="n">
        <f aca="false">F5*1.3</f>
        <v>0</v>
      </c>
      <c r="H5" s="0" t="n">
        <f aca="false" t="array" ref="H5:H5">IFERROR(_xlfn._xlws.FILTER(2025年民投!$H$2:$H$10,2025年民投!$G$2:$G$10=B5),0)</f>
        <v>3456.899444</v>
      </c>
      <c r="I5" s="0" t="n">
        <f aca="false" t="array" ref="I5:I5">_xlfn._xlws.FILTER(2025年规模!$D$7:$D$16,2025年规模!$C$7:$C$16=B5)</f>
        <v>108419.862568</v>
      </c>
      <c r="J5" s="0" t="n">
        <f aca="false">I5/10000</f>
        <v>10.8419862568</v>
      </c>
      <c r="K5" s="0" t="n">
        <f aca="false" t="array" ref="K5:K5">_xlfn._xlws.FILTER(就业人数!$E$7:$E$16,就业人数!$C$7:$C$16=B5)/I5*10000</f>
        <v>905.461394939775</v>
      </c>
      <c r="L5" s="0" t="n">
        <f aca="false">K5/就业人数!$F$3</f>
        <v>0.835581015365703</v>
      </c>
      <c r="M5" s="0" t="n">
        <f aca="false" t="array" ref="M5:M5">ROUND(_xlfn._xlws.FILTER(支小支农业务统计表!$E$7:$E$16,支小支农业务统计表!$C$7:$C$16=B5),2)/100</f>
        <v>0.8045</v>
      </c>
      <c r="N5" s="0" t="n">
        <f aca="false">_xlfn.SWITCH(TRUE(),M5&gt;=90%,1,M5/90%)</f>
        <v>0.893888888888889</v>
      </c>
      <c r="O5" s="0" t="n">
        <f aca="false" t="array" ref="O5:O5">_xlfn._xlws.FILTER(近3年累计代偿率!$J$7:$J$16,近3年累计代偿率!$C$7:$C$16=B5)/100</f>
        <v>0.02180191</v>
      </c>
      <c r="P5" s="0" t="n">
        <f aca="false">MAX(1-(O5-近3年累计代偿率!$J$3)/近3年累计代偿率!$J$3,0.5)</f>
        <v>1.06717368056991</v>
      </c>
      <c r="Q5" s="0" t="n">
        <f aca="false" t="array" ref="Q5:Q5">_xlfn._xlws.FILTER(2025年代偿率!$J$7:$J$16,2025年代偿率!$C$7:$C$16=B5)/100</f>
        <v>0.00703718</v>
      </c>
      <c r="R5" s="0" t="n">
        <f aca="false">MAX(1-(Q5-2025年代偿率!$J$3)/2025年代偿率!$J$3,0.5)</f>
        <v>1.75726912666266</v>
      </c>
      <c r="S5" s="0" t="n">
        <f aca="false" t="array" ref="S5:S5">_xlfn._xlws.FILTER(2025年机构评价!$C$2:$C$10,2025年机构评价!$B$2:$B$10=B5)</f>
        <v>93.6</v>
      </c>
      <c r="T5" s="0" t="n">
        <f aca="false">S5/100</f>
        <v>0.936</v>
      </c>
      <c r="U5" s="0" t="n">
        <f aca="false">J5*(L5*0.2+N5*0.2+P5*0.1+R5*0.1+T5*0.4)</f>
        <v>10.8716744511547</v>
      </c>
      <c r="V5" s="0" t="n">
        <f aca="false" t="array" ref="V5:V5">ROUND(IFERROR(_xlfn._xlws.FILTER(合作业务授信额度申请表!$I$5:$I$14,合作业务授信额度申请表!$B$5:$B$14=B5),"")*2/1000,0)*1000</f>
        <v>0</v>
      </c>
      <c r="W5" s="0" t="n">
        <f aca="false">I5+V5-H5</f>
        <v>104962.963124</v>
      </c>
      <c r="X5" s="0" t="n">
        <f aca="false">ROUND((SUM($W$2:$W$9))*U5/SUM($U$2:$U$9),0)</f>
        <v>109395</v>
      </c>
      <c r="Y5" s="0" t="str">
        <f aca="false">IF(G5&gt;0,X5-G5,"")</f>
        <v/>
      </c>
      <c r="Z5" s="0" t="n">
        <f aca="false">X5</f>
        <v>109395</v>
      </c>
      <c r="AA5" s="0" t="n">
        <f aca="false">Z5</f>
        <v>109395</v>
      </c>
      <c r="AB5" s="0" t="n">
        <f aca="false">ROUND(IF(ROUND(AA5/10000,0)*10000=0,10000,ROUND(AA5/1000,0)*1000)/10000,0)*10000</f>
        <v>110000</v>
      </c>
      <c r="AC5" s="0" t="n">
        <f aca="false">AB5+IF(AH5&gt;=40%,20000,0)</f>
        <v>110000</v>
      </c>
      <c r="AD5" s="0" t="n">
        <f aca="false" t="array" ref="AD5:AD5">ROUND(IFERROR(400000*_xlfn._xlws.FILTER(合作业务授信额度申请表!$D$5:$D$14,合作业务授信额度申请表!$B$5:$B$14=B5)/SUM(合作业务授信额度申请表!$D$5:$D$14),"")/1000,0)*1000</f>
        <v>42000</v>
      </c>
      <c r="AE5" s="0" t="n">
        <v>53000</v>
      </c>
      <c r="AF5" s="0" t="n">
        <v>43593.914642</v>
      </c>
      <c r="AG5" s="0" t="n">
        <f aca="false" t="array" ref="AG5:AG5">IFERROR(_xlfn._xlws.FILTER(2025年互联网落地!$C$3:$C$9,2025年互联网落地!$B$3:$B$9=B5),"")</f>
        <v>55390.423655</v>
      </c>
      <c r="AH5" s="0" t="n">
        <f aca="false">AF5/AB5</f>
        <v>0.396308314927273</v>
      </c>
      <c r="AI5" s="0" t="n">
        <f aca="false">AC5+D5</f>
        <v>190000</v>
      </c>
      <c r="AJ5" s="0" t="n">
        <f aca="false">AC5-I5</f>
        <v>1580.137432</v>
      </c>
    </row>
    <row r="6" customFormat="false" ht="17.15" hidden="false" customHeight="false" outlineLevel="0" collapsed="false">
      <c r="A6" s="0" t="n">
        <f aca="false">MAX($A$1:A5)+1</f>
        <v>5</v>
      </c>
      <c r="B6" s="1" t="s">
        <v>35</v>
      </c>
      <c r="C6" s="0" t="n">
        <f aca="false" t="array" ref="C6:C6">_xlfn._xlws.FILTER(合作业务授信额度申请表!$C$5:$C$14,合作业务授信额度申请表!$B$5:$B$14=B6)+_xlfn._xlws.FILTER(合作业务授信额度申请表!$D$5:$D$14,合作业务授信额度申请表!$B$5:$B$14=B6)</f>
        <v>426000</v>
      </c>
      <c r="D6" s="0" t="n">
        <f aca="false" t="array" ref="D6:D6">_xlfn._xlws.FILTER(合作业务授信额度申请表!$F$5:$F$14,合作业务授信额度申请表!$B$5:$B$14=B6)</f>
        <v>20000</v>
      </c>
      <c r="G6" s="0" t="n">
        <f aca="false">F6*1.3</f>
        <v>0</v>
      </c>
      <c r="H6" s="0" t="n">
        <f aca="false" t="array" ref="H6:H6">IFERROR(_xlfn._xlws.FILTER(2025年民投!$H$2:$H$10,2025年民投!$G$2:$G$10=B6),0)</f>
        <v>26957.727908</v>
      </c>
      <c r="I6" s="0" t="n">
        <f aca="false" t="array" ref="I6:I6">_xlfn._xlws.FILTER(2025年规模!$D$7:$D$16,2025年规模!$C$7:$C$16=B6)</f>
        <v>229534.280734</v>
      </c>
      <c r="J6" s="0" t="n">
        <f aca="false">I6/10000</f>
        <v>22.9534280734</v>
      </c>
      <c r="K6" s="0" t="n">
        <f aca="false" t="array" ref="K6:K6">_xlfn._xlws.FILTER(就业人数!$E$7:$E$16,就业人数!$C$7:$C$16=B6)/I6*10000</f>
        <v>1029.86795368464</v>
      </c>
      <c r="L6" s="0" t="n">
        <f aca="false">K6/就业人数!$F$3</f>
        <v>0.950386306077297</v>
      </c>
      <c r="M6" s="0" t="n">
        <f aca="false" t="array" ref="M6:M6">ROUND(_xlfn._xlws.FILTER(支小支农业务统计表!$E$7:$E$16,支小支农业务统计表!$C$7:$C$16=B6),2)/100</f>
        <v>0.72</v>
      </c>
      <c r="N6" s="0" t="n">
        <f aca="false">_xlfn.SWITCH(TRUE(),M6&gt;=90%,1,M6/90%)</f>
        <v>0.8</v>
      </c>
      <c r="O6" s="0" t="n">
        <f aca="false" t="array" ref="O6:O6">_xlfn._xlws.FILTER(近3年累计代偿率!$J$7:$J$16,近3年累计代偿率!$C$7:$C$16=B6)/100</f>
        <v>0.04113638</v>
      </c>
      <c r="P6" s="0" t="n">
        <f aca="false">MAX(1-(O6-近3年累计代偿率!$J$3)/近3年累计代偿率!$J$3,0.5)</f>
        <v>0.5</v>
      </c>
      <c r="Q6" s="0" t="n">
        <f aca="false" t="array" ref="Q6:Q6">_xlfn._xlws.FILTER(2025年代偿率!$J$7:$J$16,2025年代偿率!$C$7:$C$16=B6)/100</f>
        <v>0.01070111</v>
      </c>
      <c r="R6" s="0" t="n">
        <f aca="false">MAX(1-(Q6-2025年代偿率!$J$3)/2025年代偿率!$J$3,0.5)</f>
        <v>1.63089053058485</v>
      </c>
      <c r="S6" s="0" t="n">
        <f aca="false" t="array" ref="S6:S6">_xlfn._xlws.FILTER(2025年机构评价!$C$2:$C$10,2025年机构评价!$B$2:$B$10=B6)</f>
        <v>81.41</v>
      </c>
      <c r="T6" s="0" t="n">
        <f aca="false">S6/100</f>
        <v>0.8141</v>
      </c>
      <c r="U6" s="0" t="n">
        <f aca="false">J6*(L6*0.2+N6*0.2+P6*0.1+R6*0.1+T6*0.4)</f>
        <v>20.4011518058707</v>
      </c>
      <c r="V6" s="0" t="n">
        <f aca="false" t="array" ref="V6:V6">ROUND(IFERROR(_xlfn._xlws.FILTER(合作业务授信额度申请表!$I$5:$I$14,合作业务授信额度申请表!$B$5:$B$14=B6),"")*2/1000,0)*1000</f>
        <v>0</v>
      </c>
      <c r="W6" s="0" t="n">
        <f aca="false">I6+V6-H6</f>
        <v>202576.552826</v>
      </c>
      <c r="X6" s="0" t="n">
        <f aca="false">ROUND((SUM($W$2:$W$9))*U6/SUM($U$2:$U$9),0)</f>
        <v>205285</v>
      </c>
      <c r="Y6" s="0" t="str">
        <f aca="false">IF(G6&gt;0,X6-G6,"")</f>
        <v/>
      </c>
      <c r="Z6" s="0" t="n">
        <f aca="false">X6</f>
        <v>205285</v>
      </c>
      <c r="AA6" s="0" t="n">
        <f aca="false">Z6</f>
        <v>205285</v>
      </c>
      <c r="AB6" s="0" t="n">
        <f aca="false">ROUND(IF(ROUND(AA6/10000,0)*10000=0,10000,ROUND(AA6/1000,0)*1000)/10000,0)*10000</f>
        <v>210000</v>
      </c>
      <c r="AC6" s="0" t="n">
        <f aca="false">AB6+IF(AH6&gt;=40%,20000,0)</f>
        <v>210000</v>
      </c>
      <c r="AD6" s="0" t="n">
        <f aca="false" t="array" ref="AD6:AD6">ROUND(IFERROR(400000*_xlfn._xlws.FILTER(合作业务授信额度申请表!$D$5:$D$14,合作业务授信额度申请表!$B$5:$B$14=B6)/SUM(合作业务授信额度申请表!$D$5:$D$14),"")/1000,0)*1000</f>
        <v>0</v>
      </c>
      <c r="AE6" s="0" t="n">
        <v>10000</v>
      </c>
      <c r="AF6" s="0" t="n">
        <v>54240.288499</v>
      </c>
      <c r="AG6" s="0" t="n">
        <f aca="false" t="array" ref="AG6:AG6">IFERROR(_xlfn._xlws.FILTER(2025年互联网落地!$C$3:$C$9,2025年互联网落地!$B$3:$B$9=B6),"")</f>
        <v>109647.143718</v>
      </c>
      <c r="AH6" s="0" t="n">
        <f aca="false">AF6/AB6</f>
        <v>0.258287088090476</v>
      </c>
      <c r="AI6" s="0" t="n">
        <f aca="false">AC6+D6</f>
        <v>230000</v>
      </c>
      <c r="AJ6" s="0" t="n">
        <f aca="false">AC6-I6</f>
        <v>-19534.280734</v>
      </c>
    </row>
    <row r="7" customFormat="false" ht="17.15" hidden="false" customHeight="false" outlineLevel="0" collapsed="false">
      <c r="A7" s="0" t="n">
        <f aca="false">MAX($A$1:A6)+1</f>
        <v>6</v>
      </c>
      <c r="B7" s="1" t="s">
        <v>36</v>
      </c>
      <c r="C7" s="0" t="n">
        <f aca="false" t="array" ref="C7:C7">_xlfn._xlws.FILTER(合作业务授信额度申请表!$C$5:$C$14,合作业务授信额度申请表!$B$5:$B$14=B7)+_xlfn._xlws.FILTER(合作业务授信额度申请表!$D$5:$D$14,合作业务授信额度申请表!$B$5:$B$14=B7)</f>
        <v>432000</v>
      </c>
      <c r="D7" s="0" t="n">
        <f aca="false" t="array" ref="D7:D7">_xlfn._xlws.FILTER(合作业务授信额度申请表!$F$5:$F$14,合作业务授信额度申请表!$B$5:$B$14=B7)</f>
        <v>80000</v>
      </c>
      <c r="G7" s="0" t="n">
        <f aca="false">F7*1.3</f>
        <v>0</v>
      </c>
      <c r="H7" s="0" t="n">
        <f aca="false" t="array" ref="H7:H7">IFERROR(_xlfn._xlws.FILTER(2025年民投!$H$2:$H$10,2025年民投!$G$2:$G$10=B7),0)</f>
        <v>27807.096189</v>
      </c>
      <c r="I7" s="0" t="n">
        <f aca="false" t="array" ref="I7:I7">_xlfn._xlws.FILTER(2025年规模!$D$7:$D$16,2025年规模!$C$7:$C$16=B7)</f>
        <v>128719.859087</v>
      </c>
      <c r="J7" s="0" t="n">
        <f aca="false">I7/10000</f>
        <v>12.8719859087</v>
      </c>
      <c r="K7" s="0" t="n">
        <f aca="false" t="array" ref="K7:K7">_xlfn._xlws.FILTER(就业人数!$E$7:$E$16,就业人数!$C$7:$C$16=B7)/I7*10000</f>
        <v>807.334631478752</v>
      </c>
      <c r="L7" s="0" t="n">
        <f aca="false">K7/就业人数!$F$3</f>
        <v>0.745027336207725</v>
      </c>
      <c r="M7" s="0" t="n">
        <f aca="false" t="array" ref="M7:M7">ROUND(_xlfn._xlws.FILTER(支小支农业务统计表!$E$7:$E$16,支小支农业务统计表!$C$7:$C$16=B7),2)/100</f>
        <v>0.8971</v>
      </c>
      <c r="N7" s="0" t="n">
        <f aca="false">_xlfn.SWITCH(TRUE(),M7&gt;=90%,1,M7/90%)</f>
        <v>0.996777777777778</v>
      </c>
      <c r="O7" s="0" t="n">
        <f aca="false" t="array" ref="O7:O7">_xlfn._xlws.FILTER(近3年累计代偿率!$J$7:$J$16,近3年累计代偿率!$C$7:$C$16=B7)/100</f>
        <v>0.00994896</v>
      </c>
      <c r="P7" s="0" t="n">
        <f aca="false">MAX(1-(O7-近3年累计代偿率!$J$3)/近3年累计代偿率!$J$3,0.5)</f>
        <v>1.57431932619861</v>
      </c>
      <c r="Q7" s="0" t="n">
        <f aca="false" t="array" ref="Q7:Q7">_xlfn._xlws.FILTER(2025年代偿率!$J$7:$J$16,2025年代偿率!$C$7:$C$16=B7)/100</f>
        <v>0.02831847</v>
      </c>
      <c r="R7" s="0" t="n">
        <f aca="false">MAX(1-(Q7-2025年代偿率!$J$3)/2025年代偿率!$J$3,0.5)</f>
        <v>1.02322138204833</v>
      </c>
      <c r="S7" s="0" t="n">
        <f aca="false" t="array" ref="S7:S7">_xlfn._xlws.FILTER(2025年机构评价!$C$2:$C$10,2025年机构评价!$B$2:$B$10=B7)</f>
        <v>91.18</v>
      </c>
      <c r="T7" s="0" t="n">
        <f aca="false">S7/100</f>
        <v>0.9118</v>
      </c>
      <c r="U7" s="0" t="n">
        <f aca="false">J7*(L7*0.2+N7*0.2+P7*0.1+R7*0.1+T7*0.4)</f>
        <v>12.5223196165886</v>
      </c>
      <c r="V7" s="0" t="n">
        <f aca="false" t="array" ref="V7:V7">ROUND(IFERROR(_xlfn._xlws.FILTER(合作业务授信额度申请表!$I$5:$I$14,合作业务授信额度申请表!$B$5:$B$14=B7),"")*2/1000,0)*1000</f>
        <v>23000</v>
      </c>
      <c r="W7" s="0" t="n">
        <f aca="false">I7+V7-H7</f>
        <v>123912.762898</v>
      </c>
      <c r="X7" s="0" t="n">
        <f aca="false">ROUND((SUM($W$2:$W$9))*U7/SUM($U$2:$U$9),0)</f>
        <v>126005</v>
      </c>
      <c r="Y7" s="0" t="str">
        <f aca="false">IF(G7&gt;0,X7-G7,"")</f>
        <v/>
      </c>
      <c r="Z7" s="0" t="n">
        <f aca="false">X7</f>
        <v>126005</v>
      </c>
      <c r="AA7" s="0" t="n">
        <f aca="false">Z7</f>
        <v>126005</v>
      </c>
      <c r="AB7" s="0" t="n">
        <f aca="false">ROUND(IF(ROUND(AA7/10000,0)*10000=0,10000,ROUND(AA7/1000,0)*1000)/10000,0)*10000</f>
        <v>130000</v>
      </c>
      <c r="AC7" s="0" t="n">
        <f aca="false">AB7+IF(AH7&gt;=40%,20000,0)</f>
        <v>130000</v>
      </c>
      <c r="AD7" s="0" t="n">
        <f aca="false" t="array" ref="AD7:AD7">ROUND(IFERROR(400000*_xlfn._xlws.FILTER(合作业务授信额度申请表!$D$5:$D$14,合作业务授信额度申请表!$B$5:$B$14=B7)/SUM(合作业务授信额度申请表!$D$5:$D$14),"")/1000,0)*1000</f>
        <v>42000</v>
      </c>
      <c r="AE7" s="0" t="n">
        <v>30000</v>
      </c>
      <c r="AF7" s="0" t="n">
        <v>45711.086224</v>
      </c>
      <c r="AG7" s="0" t="str">
        <f aca="false" t="array" ref="AG7:AG7">IFERROR(_xlfn._xlws.FILTER(2025年互联网落地!$C$3:$C$9,2025年互联网落地!$B$3:$B$9=B7),"")</f>
        <v/>
      </c>
      <c r="AH7" s="0" t="n">
        <f aca="false">AF7/AB7</f>
        <v>0.351623740184615</v>
      </c>
      <c r="AI7" s="0" t="n">
        <f aca="false">AC7+D7</f>
        <v>210000</v>
      </c>
      <c r="AJ7" s="0" t="n">
        <f aca="false">AC7-I7</f>
        <v>1280.140913</v>
      </c>
    </row>
    <row r="8" customFormat="false" ht="17.15" hidden="false" customHeight="false" outlineLevel="0" collapsed="false">
      <c r="A8" s="0" t="n">
        <f aca="false">MAX($A$1:A7)+1</f>
        <v>7</v>
      </c>
      <c r="B8" s="1" t="s">
        <v>37</v>
      </c>
      <c r="C8" s="0" t="n">
        <f aca="false" t="array" ref="C8:C8">_xlfn._xlws.FILTER(合作业务授信额度申请表!$C$5:$C$14,合作业务授信额度申请表!$B$5:$B$14=B8)+_xlfn._xlws.FILTER(合作业务授信额度申请表!$D$5:$D$14,合作业务授信额度申请表!$B$5:$B$14=B8)</f>
        <v>342000</v>
      </c>
      <c r="D8" s="0" t="n">
        <f aca="false" t="array" ref="D8:D8">_xlfn._xlws.FILTER(合作业务授信额度申请表!$F$5:$F$14,合作业务授信额度申请表!$B$5:$B$14=B8)</f>
        <v>50000</v>
      </c>
      <c r="G8" s="0" t="n">
        <f aca="false">F8*1.3</f>
        <v>0</v>
      </c>
      <c r="H8" s="0" t="n">
        <f aca="false" t="array" ref="H8:H8">IFERROR(_xlfn._xlws.FILTER(2025年民投!$H$2:$H$10,2025年民投!$G$2:$G$10=B8),0)</f>
        <v>9571.214222</v>
      </c>
      <c r="I8" s="0" t="n">
        <f aca="false" t="array" ref="I8:I8">_xlfn._xlws.FILTER(2025年规模!$D$7:$D$16,2025年规模!$C$7:$C$16=B8)</f>
        <v>40244.929113</v>
      </c>
      <c r="J8" s="0" t="n">
        <f aca="false">I8/10000</f>
        <v>4.0244929113</v>
      </c>
      <c r="K8" s="0" t="n">
        <f aca="false" t="array" ref="K8:K8">_xlfn._xlws.FILTER(就业人数!$E$7:$E$16,就业人数!$C$7:$C$16=B8)/I8*10000</f>
        <v>801.840150081817</v>
      </c>
      <c r="L8" s="0" t="n">
        <f aca="false">K8/就业人数!$F$3</f>
        <v>0.739956899886291</v>
      </c>
      <c r="M8" s="0" t="n">
        <f aca="false" t="array" ref="M8:M8">ROUND(_xlfn._xlws.FILTER(支小支农业务统计表!$E$7:$E$16,支小支农业务统计表!$C$7:$C$16=B8),2)/100</f>
        <v>0.8442</v>
      </c>
      <c r="N8" s="0" t="n">
        <f aca="false">_xlfn.SWITCH(TRUE(),M8&gt;=90%,1,M8/90%)</f>
        <v>0.938</v>
      </c>
      <c r="O8" s="0" t="n">
        <f aca="false" t="array" ref="O8:O8">_xlfn._xlws.FILTER(近3年累计代偿率!$J$7:$J$16,近3年累计代偿率!$C$7:$C$16=B8)/100</f>
        <v>0.01180248</v>
      </c>
      <c r="P8" s="0" t="n">
        <f aca="false">MAX(1-(O8-近3年累计代偿率!$J$3)/近3年累计代偿率!$J$3,0.5)</f>
        <v>1.49501378647342</v>
      </c>
      <c r="Q8" s="0" t="n">
        <f aca="false" t="array" ref="Q8:Q8">_xlfn._xlws.FILTER(2025年代偿率!$J$7:$J$16,2025年代偿率!$C$7:$C$16=B8)/100</f>
        <v>0.01315482</v>
      </c>
      <c r="R8" s="0" t="n">
        <f aca="false">MAX(1-(Q8-2025年代偿率!$J$3)/2025年代偿率!$J$3,0.5)</f>
        <v>1.54625560988984</v>
      </c>
      <c r="S8" s="0" t="n">
        <f aca="false" t="array" ref="S8:S8">_xlfn._xlws.FILTER(2025年机构评价!$C$2:$C$10,2025年机构评价!$B$2:$B$10=B8)</f>
        <v>73.74</v>
      </c>
      <c r="T8" s="0" t="n">
        <f aca="false">S8/100</f>
        <v>0.7374</v>
      </c>
      <c r="U8" s="0" t="n">
        <f aca="false">J8*(L8*0.2+N8*0.2+P8*0.1+R8*0.1+T8*0.4)</f>
        <v>3.76160627163066</v>
      </c>
      <c r="V8" s="0" t="n">
        <f aca="false" t="array" ref="V8:V8">ROUND(IFERROR(_xlfn._xlws.FILTER(合作业务授信额度申请表!$I$5:$I$14,合作业务授信额度申请表!$B$5:$B$14=B8),"")*2/1000,0)*1000</f>
        <v>0</v>
      </c>
      <c r="W8" s="0" t="n">
        <f aca="false">I8+V8-H8</f>
        <v>30673.714891</v>
      </c>
      <c r="X8" s="0" t="n">
        <f aca="false">ROUND((SUM($W$2:$W$9))*U8/SUM($U$2:$U$9),0)</f>
        <v>37851</v>
      </c>
      <c r="Y8" s="0" t="str">
        <f aca="false">IF(G8&gt;0,X8-G8,"")</f>
        <v/>
      </c>
      <c r="Z8" s="0" t="n">
        <f aca="false">X8</f>
        <v>37851</v>
      </c>
      <c r="AA8" s="0" t="n">
        <f aca="false">Z8</f>
        <v>37851</v>
      </c>
      <c r="AB8" s="0" t="n">
        <f aca="false">ROUND(IF(ROUND(AA8/10000,0)*10000=0,10000,ROUND(AA8/1000,0)*1000)/10000,0)*10000</f>
        <v>40000</v>
      </c>
      <c r="AC8" s="0" t="n">
        <f aca="false">AB8+IF(AH8&gt;=40%,20000,0)</f>
        <v>60000</v>
      </c>
      <c r="AD8" s="0" t="n">
        <f aca="false" t="array" ref="AD8:AD8">ROUND(IFERROR(400000*_xlfn._xlws.FILTER(合作业务授信额度申请表!$D$5:$D$14,合作业务授信额度申请表!$B$5:$B$14=B8)/SUM(合作业务授信额度申请表!$D$5:$D$14),"")/1000,0)*1000</f>
        <v>42000</v>
      </c>
      <c r="AE8" s="0" t="n">
        <v>19000</v>
      </c>
      <c r="AF8" s="0" t="n">
        <v>16292.569241</v>
      </c>
      <c r="AG8" s="0" t="str">
        <f aca="false" t="array" ref="AG8:AG8">IFERROR(_xlfn._xlws.FILTER(2025年互联网落地!$C$3:$C$9,2025年互联网落地!$B$3:$B$9=B8),"")</f>
        <v/>
      </c>
      <c r="AH8" s="0" t="n">
        <f aca="false">AF8/AB8</f>
        <v>0.407314231025</v>
      </c>
      <c r="AI8" s="0" t="n">
        <f aca="false">AC8+D8</f>
        <v>110000</v>
      </c>
      <c r="AJ8" s="0" t="n">
        <f aca="false">AC8-I8</f>
        <v>19755.070887</v>
      </c>
    </row>
    <row r="9" customFormat="false" ht="17.15" hidden="false" customHeight="false" outlineLevel="0" collapsed="false">
      <c r="A9" s="0" t="n">
        <f aca="false">MAX($A$1:A8)+1</f>
        <v>8</v>
      </c>
      <c r="B9" s="1" t="s">
        <v>38</v>
      </c>
      <c r="C9" s="0" t="n">
        <f aca="false" t="array" ref="C9:C9">_xlfn._xlws.FILTER(合作业务授信额度申请表!$C$5:$C$14,合作业务授信额度申请表!$B$5:$B$14=B9)+_xlfn._xlws.FILTER(合作业务授信额度申请表!$D$5:$D$14,合作业务授信额度申请表!$B$5:$B$14=B9)</f>
        <v>239000</v>
      </c>
      <c r="D9" s="0" t="n">
        <f aca="false" t="array" ref="D9:D9">_xlfn._xlws.FILTER(合作业务授信额度申请表!$F$5:$F$14,合作业务授信额度申请表!$B$5:$B$14=B9)</f>
        <v>30000</v>
      </c>
      <c r="G9" s="0" t="n">
        <f aca="false">F9*1.3</f>
        <v>0</v>
      </c>
      <c r="H9" s="0" t="n">
        <f aca="false" t="array" ref="H9:H9">IFERROR(_xlfn._xlws.FILTER(2025年民投!$H$2:$H$10,2025年民投!$G$2:$G$10=B9),0)</f>
        <v>1419.164096</v>
      </c>
      <c r="I9" s="0" t="n">
        <f aca="false" t="array" ref="I9:I9">_xlfn._xlws.FILTER(2025年规模!$D$7:$D$16,2025年规模!$C$7:$C$16=B9)</f>
        <v>80979.770065</v>
      </c>
      <c r="J9" s="0" t="n">
        <f aca="false">I9/10000</f>
        <v>8.0979770065</v>
      </c>
      <c r="K9" s="0" t="n">
        <f aca="false" t="array" ref="K9:K9">_xlfn._xlws.FILTER(就业人数!$E$7:$E$16,就业人数!$C$7:$C$16=B9)/I9*10000</f>
        <v>1181.77663289467</v>
      </c>
      <c r="L9" s="0" t="n">
        <f aca="false">K9/就业人数!$F$3</f>
        <v>1.09057119869287</v>
      </c>
      <c r="M9" s="0" t="n">
        <f aca="false" t="array" ref="M9:M9">ROUND(_xlfn._xlws.FILTER(支小支农业务统计表!$E$7:$E$16,支小支农业务统计表!$C$7:$C$16=B9),2)/100</f>
        <v>0.9584</v>
      </c>
      <c r="N9" s="0" t="n">
        <f aca="false">_xlfn.SWITCH(TRUE(),M9&gt;=90%,1,M9/90%)</f>
        <v>1</v>
      </c>
      <c r="O9" s="0" t="n">
        <f aca="false" t="array" ref="O9:O9">_xlfn._xlws.FILTER(近3年累计代偿率!$J$7:$J$16,近3年累计代偿率!$C$7:$C$16=B9)/100</f>
        <v>0.01028255</v>
      </c>
      <c r="P9" s="0" t="n">
        <f aca="false">MAX(1-(O9-近3年累计代偿率!$J$3)/近3年累计代偿率!$J$3,0.5)</f>
        <v>1.56004619453727</v>
      </c>
      <c r="Q9" s="0" t="n">
        <f aca="false" t="array" ref="Q9:Q9">_xlfn._xlws.FILTER(2025年代偿率!$J$7:$J$16,2025年代偿率!$C$7:$C$16=B9)/100</f>
        <v>0.0173012</v>
      </c>
      <c r="R9" s="0" t="n">
        <f aca="false">MAX(1-(Q9-2025年代偿率!$J$3)/2025年代偿率!$J$3,0.5)</f>
        <v>1.40323604259321</v>
      </c>
      <c r="S9" s="0" t="n">
        <f aca="false" t="array" ref="S9:S9">_xlfn._xlws.FILTER(2025年机构评价!$C$2:$C$10,2025年机构评价!$B$2:$B$10=B9)</f>
        <v>80.22</v>
      </c>
      <c r="T9" s="0" t="n">
        <f aca="false">S9/100</f>
        <v>0.8022</v>
      </c>
      <c r="U9" s="0" t="n">
        <f aca="false">J9*(L9*0.2+N9*0.2+P9*0.1+R9*0.1+T9*0.4)</f>
        <v>8.38401750334418</v>
      </c>
      <c r="V9" s="0" t="n">
        <f aca="false" t="array" ref="V9:V9">ROUND(IFERROR(_xlfn._xlws.FILTER(合作业务授信额度申请表!$I$5:$I$14,合作业务授信额度申请表!$B$5:$B$14=B9),"")*2/1000,0)*1000</f>
        <v>4000</v>
      </c>
      <c r="W9" s="0" t="n">
        <f aca="false">I9+V9-H9</f>
        <v>83560.605969</v>
      </c>
      <c r="X9" s="0" t="n">
        <f aca="false">ROUND((SUM($W$2:$W$9))*U9/SUM($U$2:$U$9),0)</f>
        <v>84364</v>
      </c>
      <c r="Y9" s="0" t="str">
        <f aca="false">IF(G9&gt;0,X9-G9,"")</f>
        <v/>
      </c>
      <c r="Z9" s="0" t="n">
        <f aca="false">X9</f>
        <v>84364</v>
      </c>
      <c r="AA9" s="0" t="n">
        <f aca="false">Z9</f>
        <v>84364</v>
      </c>
      <c r="AB9" s="0" t="n">
        <f aca="false">ROUND(IF(ROUND(AA9/10000,0)*10000=0,10000,ROUND(AA9/1000,0)*1000)/10000,0)*10000</f>
        <v>80000</v>
      </c>
      <c r="AC9" s="0" t="n">
        <f aca="false">AB9+IF(AH9&gt;=40%,20000,0)</f>
        <v>100000</v>
      </c>
      <c r="AD9" s="0" t="n">
        <f aca="false" t="array" ref="AD9:AD9">ROUND(IFERROR(400000*_xlfn._xlws.FILTER(合作业务授信额度申请表!$D$5:$D$14,合作业务授信额度申请表!$B$5:$B$14=B9)/SUM(合作业务授信额度申请表!$D$5:$D$14),"")/1000,0)*1000</f>
        <v>105000</v>
      </c>
      <c r="AE9" s="0" t="n">
        <v>50000</v>
      </c>
      <c r="AF9" s="0" t="n">
        <v>36840.446043</v>
      </c>
      <c r="AG9" s="0" t="str">
        <f aca="false" t="array" ref="AG9:AG9">IFERROR(_xlfn._xlws.FILTER(2025年互联网落地!$C$3:$C$9,2025年互联网落地!$B$3:$B$9=B9),"")</f>
        <v/>
      </c>
      <c r="AH9" s="0" t="n">
        <f aca="false">AF9/AB9</f>
        <v>0.4605055755375</v>
      </c>
      <c r="AI9" s="0" t="n">
        <f aca="false">AC9+D9</f>
        <v>130000</v>
      </c>
      <c r="AJ9" s="0" t="n">
        <f aca="false">AC9-I9</f>
        <v>19020.229935</v>
      </c>
    </row>
    <row r="10" customFormat="false" ht="17.15" hidden="false" customHeight="false" outlineLevel="0" collapsed="false">
      <c r="A10" s="0" t="n">
        <f aca="false">MAX($A$1:A9)+1</f>
        <v>9</v>
      </c>
      <c r="B10" s="1" t="s">
        <v>39</v>
      </c>
      <c r="C10" s="0" t="n">
        <f aca="false" t="array" ref="C10:C10">_xlfn._xlws.FILTER(合作业务授信额度申请表!$C$5:$C$14,合作业务授信额度申请表!$B$5:$B$14=B10)+_xlfn._xlws.FILTER(合作业务授信额度申请表!$D$5:$D$14,合作业务授信额度申请表!$B$5:$B$14=B10)</f>
        <v>435000</v>
      </c>
      <c r="D10" s="0" t="n">
        <f aca="false" t="array" ref="D10:D10">_xlfn._xlws.FILTER(合作业务授信额度申请表!$F$5:$F$14,合作业务授信额度申请表!$B$5:$B$14=B10)</f>
        <v>50000</v>
      </c>
      <c r="G10" s="0" t="n">
        <f aca="false">F10*1.3</f>
        <v>0</v>
      </c>
      <c r="H10" s="0" t="n">
        <f aca="false" t="array" ref="H10:H10">IFERROR(_xlfn._xlws.FILTER(2025年民投!$H$2:$H$10,2025年民投!$G$2:$G$10=B10),0)</f>
        <v>0</v>
      </c>
      <c r="I10" s="0" t="n">
        <f aca="false" t="array" ref="I10:I10">_xlfn._xlws.FILTER(2025年规模!$D$7:$D$16,2025年规模!$C$7:$C$16=B10)</f>
        <v>298549.582524</v>
      </c>
      <c r="J10" s="0" t="n">
        <f aca="false">I10/10000</f>
        <v>29.8549582524</v>
      </c>
      <c r="K10" s="0" t="n">
        <f aca="false" t="array" ref="K10:K10">_xlfn._xlws.FILTER(就业人数!$E$7:$E$16,就业人数!$C$7:$C$16=B10)/I10*10000</f>
        <v>1204.82499743936</v>
      </c>
      <c r="L10" s="0" t="n">
        <f aca="false">K10/就业人数!$F$3</f>
        <v>1.1118407701582</v>
      </c>
      <c r="M10" s="0" t="n">
        <f aca="false" t="array" ref="M10:M10">ROUND(_xlfn._xlws.FILTER(支小支农业务统计表!$E$7:$E$16,支小支农业务统计表!$C$7:$C$16=B10),2)/100</f>
        <v>0.8677</v>
      </c>
      <c r="N10" s="0" t="n">
        <f aca="false">_xlfn.SWITCH(TRUE(),M10&gt;=90%,1,M10/90%)</f>
        <v>0.964111111111111</v>
      </c>
      <c r="O10" s="0" t="n">
        <f aca="false" t="array" ref="O10:O10">_xlfn._xlws.FILTER(近3年累计代偿率!$J$7:$J$16,近3年累计代偿率!$C$7:$C$16=B10)/100</f>
        <v>0.0378078</v>
      </c>
      <c r="P10" s="0" t="n">
        <f aca="false">MAX(1-(O10-近3年累计代偿率!$J$3)/近3年累计代偿率!$J$3,0.5)</f>
        <v>0.5</v>
      </c>
      <c r="Q10" s="0" t="n">
        <f aca="false" t="array" ref="Q10:Q10">_xlfn._xlws.FILTER(2025年代偿率!$J$7:$J$16,2025年代偿率!$C$7:$C$16=B10)/100</f>
        <v>0.01341857</v>
      </c>
      <c r="R10" s="0" t="n">
        <f aca="false">MAX(1-(Q10-2025年代偿率!$J$3)/2025年代偿率!$J$3,0.5)</f>
        <v>1.53715817770212</v>
      </c>
      <c r="S10" s="0" t="n">
        <f aca="false" t="array" ref="S10:S10">_xlfn._xlws.FILTER(2025年机构评价!$C$2:$C$10,2025年机构评价!$B$2:$B$10=B10)</f>
        <v>83.04</v>
      </c>
      <c r="T10" s="0" t="n">
        <f aca="false">S10/100</f>
        <v>0.8304</v>
      </c>
      <c r="U10" s="0" t="n">
        <f aca="false">J10*(L10*0.2+N10*0.2+P10*0.1+R10*0.1+T10*0.4)</f>
        <v>28.3940415178577</v>
      </c>
      <c r="V10" s="0" t="n">
        <f aca="false" t="array" ref="V10:V10">ROUND(IFERROR(_xlfn._xlws.FILTER(合作业务授信额度申请表!$I$5:$I$14,合作业务授信额度申请表!$B$5:$B$14=B10),"")*2/1000,0)*1000</f>
        <v>23000</v>
      </c>
      <c r="W10" s="0" t="n">
        <f aca="false">I10+V10-H10</f>
        <v>321549.582524</v>
      </c>
      <c r="X10" s="0" t="n">
        <v>10000</v>
      </c>
      <c r="Z10" s="0" t="n">
        <v>10000</v>
      </c>
      <c r="AA10" s="0" t="n">
        <v>10000</v>
      </c>
      <c r="AB10" s="0" t="n">
        <v>10000</v>
      </c>
      <c r="AC10" s="0" t="n">
        <v>10000</v>
      </c>
      <c r="AD10" s="0" t="n">
        <f aca="false" t="array" ref="AD10:AD10">ROUND(IFERROR(400000*_xlfn._xlws.FILTER(合作业务授信额度申请表!$D$5:$D$14,合作业务授信额度申请表!$B$5:$B$14=B10)/SUM(合作业务授信额度申请表!$D$5:$D$14),"")/1000,0)*1000</f>
        <v>0</v>
      </c>
      <c r="AE10" s="0" t="n">
        <v>58000</v>
      </c>
      <c r="AF10" s="0" t="n">
        <v>3846.95</v>
      </c>
      <c r="AG10" s="0" t="str">
        <f aca="false" t="array" ref="AG10:AG10">IFERROR(_xlfn._xlws.FILTER(2025年互联网落地!$C$3:$C$9,2025年互联网落地!$B$3:$B$9=B10),"")</f>
        <v/>
      </c>
      <c r="AI10" s="0" t="n">
        <f aca="false">AC10+D10</f>
        <v>60000</v>
      </c>
      <c r="AJ10" s="1" t="s">
        <v>40</v>
      </c>
    </row>
    <row r="11" customFormat="false" ht="17.15" hidden="false" customHeight="false" outlineLevel="0" collapsed="false">
      <c r="A11" s="0" t="n">
        <f aca="false">MAX($A$1:A10)+1</f>
        <v>10</v>
      </c>
      <c r="B11" s="1" t="s">
        <v>41</v>
      </c>
      <c r="C11" s="0" t="n">
        <f aca="false" t="array" ref="C11:C11">_xlfn._xlws.FILTER(合作业务授信额度申请表!$C$5:$C$14,合作业务授信额度申请表!$B$5:$B$14=B11)+_xlfn._xlws.FILTER(合作业务授信额度申请表!$D$5:$D$14,合作业务授信额度申请表!$B$5:$B$14=B11)</f>
        <v>376000</v>
      </c>
      <c r="D11" s="0" t="n">
        <f aca="false" t="array" ref="D11:D11">_xlfn._xlws.FILTER(合作业务授信额度申请表!$F$5:$F$14,合作业务授信额度申请表!$B$5:$B$14=B11)</f>
        <v>0</v>
      </c>
      <c r="G11" s="0" t="n">
        <f aca="false">F11*1.3</f>
        <v>0</v>
      </c>
      <c r="H11" s="0" t="n">
        <f aca="false" t="array" ref="H11:H11">IFERROR(_xlfn._xlws.FILTER(2025年民投!$H$2:$H$10,2025年民投!$G$2:$G$10=B11),0)</f>
        <v>0</v>
      </c>
      <c r="W11" s="0" t="n">
        <f aca="false">I11+V11-H11</f>
        <v>0</v>
      </c>
      <c r="X11" s="0" t="n">
        <v>2000</v>
      </c>
      <c r="Z11" s="0" t="n">
        <v>2000</v>
      </c>
      <c r="AA11" s="0" t="n">
        <v>2000</v>
      </c>
      <c r="AB11" s="0" t="n">
        <v>2000</v>
      </c>
      <c r="AC11" s="0" t="n">
        <v>2000</v>
      </c>
      <c r="AD11" s="0" t="n">
        <f aca="false" t="array" ref="AD11:AD11">ROUND(IFERROR(400000*_xlfn._xlws.FILTER(合作业务授信额度申请表!$D$5:$D$14,合作业务授信额度申请表!$B$5:$B$14=B11)/SUM(合作业务授信额度申请表!$D$5:$D$14),"")/1000,0)*1000</f>
        <v>21000</v>
      </c>
      <c r="AE11" s="0" t="n">
        <v>50000</v>
      </c>
      <c r="AF11" s="0" t="n">
        <v>1103.21</v>
      </c>
      <c r="AG11" s="0" t="str">
        <f aca="false" t="array" ref="AG11:AG11">IFERROR(_xlfn._xlws.FILTER(2025年互联网落地!$C$3:$C$9,2025年互联网落地!$B$3:$B$9=B11),"")</f>
        <v/>
      </c>
      <c r="AI11" s="0" t="n">
        <f aca="false">AC11+D11</f>
        <v>2000</v>
      </c>
      <c r="AJ11" s="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42</v>
      </c>
    </row>
    <row r="3" customFormat="false" ht="17.15" hidden="false" customHeight="false" outlineLevel="0" collapsed="false">
      <c r="A3" s="1" t="s">
        <v>0</v>
      </c>
      <c r="B3" s="1" t="s">
        <v>43</v>
      </c>
      <c r="C3" s="0" t="s">
        <v>44</v>
      </c>
      <c r="D3" s="0" t="s">
        <v>45</v>
      </c>
      <c r="E3" s="1" t="s">
        <v>46</v>
      </c>
      <c r="H3" s="0" t="s">
        <v>47</v>
      </c>
    </row>
    <row r="4" customFormat="false" ht="17.15" hidden="false" customHeight="false" outlineLevel="0" collapsed="false">
      <c r="E4" s="1" t="s">
        <v>48</v>
      </c>
      <c r="F4" s="0" t="s">
        <v>49</v>
      </c>
      <c r="G4" s="0" t="s">
        <v>50</v>
      </c>
      <c r="H4" s="1" t="s">
        <v>51</v>
      </c>
      <c r="I4" s="1" t="s">
        <v>52</v>
      </c>
    </row>
    <row r="5" customFormat="false" ht="17.15" hidden="false" customHeight="false" outlineLevel="0" collapsed="false">
      <c r="A5" s="0" t="n">
        <v>1</v>
      </c>
      <c r="B5" s="1" t="s">
        <v>31</v>
      </c>
      <c r="C5" s="0" t="n">
        <v>619000</v>
      </c>
      <c r="D5" s="0" t="n">
        <v>20000</v>
      </c>
      <c r="E5" s="0" t="n">
        <v>60000</v>
      </c>
      <c r="F5" s="0" t="n">
        <v>30000</v>
      </c>
      <c r="G5" s="0" t="n">
        <v>30000</v>
      </c>
      <c r="H5" s="1" t="s">
        <v>53</v>
      </c>
      <c r="I5" s="0" t="n">
        <v>14322.17</v>
      </c>
    </row>
    <row r="6" customFormat="false" ht="17.15" hidden="false" customHeight="false" outlineLevel="0" collapsed="false">
      <c r="A6" s="0" t="n">
        <v>2</v>
      </c>
      <c r="B6" s="1" t="s">
        <v>32</v>
      </c>
      <c r="C6" s="0" t="n">
        <v>285000</v>
      </c>
      <c r="D6" s="0" t="n">
        <v>50000</v>
      </c>
      <c r="E6" s="0" t="n">
        <v>0</v>
      </c>
      <c r="F6" s="0" t="n">
        <v>0</v>
      </c>
      <c r="G6" s="0" t="n">
        <v>0</v>
      </c>
      <c r="H6" s="1" t="s">
        <v>53</v>
      </c>
      <c r="I6" s="0" t="n">
        <v>9822.81</v>
      </c>
    </row>
    <row r="7" customFormat="false" ht="17.15" hidden="false" customHeight="false" outlineLevel="0" collapsed="false">
      <c r="A7" s="0" t="n">
        <v>3</v>
      </c>
      <c r="B7" s="1" t="s">
        <v>33</v>
      </c>
      <c r="C7" s="0" t="n">
        <v>397000</v>
      </c>
      <c r="D7" s="0" t="n">
        <v>0</v>
      </c>
      <c r="E7" s="0" t="n">
        <v>0</v>
      </c>
      <c r="F7" s="0" t="n">
        <v>0</v>
      </c>
      <c r="G7" s="0" t="n">
        <v>0</v>
      </c>
      <c r="H7" s="1" t="s">
        <v>53</v>
      </c>
      <c r="I7" s="0" t="n">
        <v>13788.32</v>
      </c>
    </row>
    <row r="8" customFormat="false" ht="17.15" hidden="false" customHeight="false" outlineLevel="0" collapsed="false">
      <c r="A8" s="0" t="n">
        <v>4</v>
      </c>
      <c r="B8" s="1" t="s">
        <v>34</v>
      </c>
      <c r="C8" s="0" t="n">
        <v>393000</v>
      </c>
      <c r="D8" s="0" t="n">
        <v>20000</v>
      </c>
      <c r="E8" s="0" t="n">
        <v>160000</v>
      </c>
      <c r="F8" s="0" t="n">
        <v>80000</v>
      </c>
      <c r="G8" s="0" t="n">
        <v>80000</v>
      </c>
      <c r="H8" s="1" t="s">
        <v>54</v>
      </c>
    </row>
    <row r="9" customFormat="false" ht="17.15" hidden="false" customHeight="false" outlineLevel="0" collapsed="false">
      <c r="A9" s="0" t="n">
        <v>5</v>
      </c>
      <c r="B9" s="1" t="s">
        <v>35</v>
      </c>
      <c r="C9" s="0" t="n">
        <v>426000</v>
      </c>
      <c r="D9" s="0" t="n">
        <v>0</v>
      </c>
      <c r="E9" s="0" t="n">
        <v>40000</v>
      </c>
      <c r="F9" s="0" t="n">
        <v>20000</v>
      </c>
      <c r="G9" s="0" t="n">
        <v>20000</v>
      </c>
      <c r="H9" s="1" t="s">
        <v>54</v>
      </c>
    </row>
    <row r="10" customFormat="false" ht="17.15" hidden="false" customHeight="false" outlineLevel="0" collapsed="false">
      <c r="A10" s="0" t="n">
        <v>6</v>
      </c>
      <c r="B10" s="1" t="s">
        <v>36</v>
      </c>
      <c r="C10" s="0" t="n">
        <v>412000</v>
      </c>
      <c r="D10" s="0" t="n">
        <v>20000</v>
      </c>
      <c r="E10" s="0" t="n">
        <v>160000</v>
      </c>
      <c r="F10" s="0" t="n">
        <v>80000</v>
      </c>
      <c r="G10" s="0" t="n">
        <v>80000</v>
      </c>
      <c r="H10" s="1" t="s">
        <v>53</v>
      </c>
      <c r="I10" s="0" t="n">
        <v>11611.5</v>
      </c>
    </row>
    <row r="11" customFormat="false" ht="17.15" hidden="false" customHeight="false" outlineLevel="0" collapsed="false">
      <c r="A11" s="0" t="n">
        <v>7</v>
      </c>
      <c r="B11" s="1" t="s">
        <v>37</v>
      </c>
      <c r="C11" s="0" t="n">
        <v>322000</v>
      </c>
      <c r="D11" s="0" t="n">
        <v>20000</v>
      </c>
      <c r="E11" s="0" t="n">
        <v>100000</v>
      </c>
      <c r="F11" s="0" t="n">
        <v>50000</v>
      </c>
      <c r="G11" s="0" t="n">
        <v>50000</v>
      </c>
      <c r="H11" s="1" t="s">
        <v>54</v>
      </c>
    </row>
    <row r="12" customFormat="false" ht="17.15" hidden="false" customHeight="false" outlineLevel="0" collapsed="false">
      <c r="A12" s="0" t="n">
        <v>8</v>
      </c>
      <c r="B12" s="1" t="s">
        <v>38</v>
      </c>
      <c r="C12" s="0" t="n">
        <v>189000</v>
      </c>
      <c r="D12" s="0" t="n">
        <v>50000</v>
      </c>
      <c r="E12" s="0" t="n">
        <v>60000</v>
      </c>
      <c r="F12" s="0" t="n">
        <v>30000</v>
      </c>
      <c r="G12" s="0" t="n">
        <v>30000</v>
      </c>
      <c r="H12" s="1" t="s">
        <v>53</v>
      </c>
      <c r="I12" s="0" t="n">
        <v>2061.92</v>
      </c>
    </row>
    <row r="13" customFormat="false" ht="17.15" hidden="false" customHeight="false" outlineLevel="0" collapsed="false">
      <c r="A13" s="0" t="n">
        <v>9</v>
      </c>
      <c r="B13" s="1" t="s">
        <v>39</v>
      </c>
      <c r="C13" s="0" t="n">
        <v>435000</v>
      </c>
      <c r="D13" s="0" t="n">
        <v>0</v>
      </c>
      <c r="E13" s="0" t="n">
        <v>100000</v>
      </c>
      <c r="F13" s="0" t="n">
        <v>50000</v>
      </c>
      <c r="G13" s="0" t="n">
        <v>50000</v>
      </c>
      <c r="H13" s="1" t="s">
        <v>53</v>
      </c>
      <c r="I13" s="0" t="n">
        <v>11296.61</v>
      </c>
    </row>
    <row r="14" customFormat="false" ht="17.15" hidden="false" customHeight="false" outlineLevel="0" collapsed="false">
      <c r="A14" s="0" t="n">
        <v>10</v>
      </c>
      <c r="B14" s="1" t="s">
        <v>41</v>
      </c>
      <c r="C14" s="0" t="n">
        <v>366000</v>
      </c>
      <c r="D14" s="0" t="n">
        <v>10000</v>
      </c>
      <c r="E14" s="0" t="n">
        <v>0</v>
      </c>
      <c r="F14" s="0" t="n">
        <v>0</v>
      </c>
      <c r="G14" s="0" t="n">
        <v>0</v>
      </c>
      <c r="H14" s="1" t="s">
        <v>54</v>
      </c>
    </row>
    <row r="15" customFormat="false" ht="15" hidden="false" customHeight="false" outlineLevel="0" collapsed="false">
      <c r="A15" s="1" t="s">
        <v>55</v>
      </c>
      <c r="C15" s="0" t="n">
        <f aca="false">SUM(C5:C14)</f>
        <v>3844000</v>
      </c>
      <c r="D15" s="0" t="n">
        <f aca="false">SUM(D5:D14)</f>
        <v>190000</v>
      </c>
      <c r="E15" s="0" t="n">
        <f aca="false">SUM(E5:E14)</f>
        <v>680000</v>
      </c>
      <c r="F15" s="0" t="n">
        <f aca="false">SUM(F5:F14)</f>
        <v>340000</v>
      </c>
      <c r="G15" s="0" t="n">
        <f aca="false">SUM(G5:G14)</f>
        <v>340000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15" hidden="false" customHeight="false" outlineLevel="0" collapsed="false">
      <c r="B1" s="1" t="s">
        <v>1</v>
      </c>
      <c r="C1" s="1" t="s">
        <v>56</v>
      </c>
      <c r="D1" s="1" t="s">
        <v>57</v>
      </c>
      <c r="E1" s="1" t="s">
        <v>58</v>
      </c>
      <c r="G1" s="1" t="s">
        <v>59</v>
      </c>
      <c r="H1" s="1" t="s">
        <v>60</v>
      </c>
    </row>
    <row r="2" customFormat="false" ht="17.15" hidden="false" customHeight="false" outlineLevel="0" collapsed="false">
      <c r="B2" s="1" t="s">
        <v>31</v>
      </c>
      <c r="C2" s="0" t="n">
        <v>3059.426489</v>
      </c>
      <c r="D2" s="0" t="n">
        <v>470.778475</v>
      </c>
      <c r="E2" s="0" t="n">
        <v>2588.648014</v>
      </c>
      <c r="G2" s="1" t="s">
        <v>31</v>
      </c>
      <c r="H2" s="0" t="n">
        <v>2588.648014</v>
      </c>
    </row>
    <row r="3" customFormat="false" ht="17.15" hidden="false" customHeight="false" outlineLevel="0" collapsed="false">
      <c r="B3" s="1" t="s">
        <v>32</v>
      </c>
      <c r="C3" s="0" t="n">
        <v>101778.889608</v>
      </c>
      <c r="D3" s="0" t="n">
        <v>4893.420965</v>
      </c>
      <c r="E3" s="0" t="n">
        <v>96885.468643</v>
      </c>
      <c r="G3" s="1" t="s">
        <v>32</v>
      </c>
      <c r="H3" s="0" t="n">
        <v>96885.468643</v>
      </c>
    </row>
    <row r="4" customFormat="false" ht="17.15" hidden="false" customHeight="false" outlineLevel="0" collapsed="false">
      <c r="B4" s="1" t="s">
        <v>33</v>
      </c>
      <c r="C4" s="0" t="n">
        <v>98495.452936</v>
      </c>
      <c r="D4" s="0" t="n">
        <v>13761.66</v>
      </c>
      <c r="E4" s="0" t="n">
        <v>84733.792936</v>
      </c>
      <c r="G4" s="1" t="s">
        <v>33</v>
      </c>
      <c r="H4" s="0" t="n">
        <v>84733.792936</v>
      </c>
    </row>
    <row r="5" customFormat="false" ht="17.15" hidden="false" customHeight="false" outlineLevel="0" collapsed="false">
      <c r="B5" s="1" t="s">
        <v>34</v>
      </c>
      <c r="C5" s="0" t="n">
        <v>3470.748262</v>
      </c>
      <c r="D5" s="0" t="n">
        <v>13.848818</v>
      </c>
      <c r="E5" s="0" t="n">
        <v>3456.899444</v>
      </c>
      <c r="G5" s="1" t="s">
        <v>34</v>
      </c>
      <c r="H5" s="0" t="n">
        <v>3456.899444</v>
      </c>
    </row>
    <row r="6" customFormat="false" ht="17.15" hidden="false" customHeight="false" outlineLevel="0" collapsed="false">
      <c r="B6" s="1" t="s">
        <v>35</v>
      </c>
      <c r="C6" s="0" t="n">
        <v>27875.000323</v>
      </c>
      <c r="D6" s="0" t="n">
        <v>917.272415</v>
      </c>
      <c r="E6" s="0" t="n">
        <v>26957.727908</v>
      </c>
      <c r="G6" s="1" t="s">
        <v>35</v>
      </c>
      <c r="H6" s="0" t="n">
        <v>26957.727908</v>
      </c>
    </row>
    <row r="7" customFormat="false" ht="17.15" hidden="false" customHeight="false" outlineLevel="0" collapsed="false">
      <c r="B7" s="1" t="s">
        <v>36</v>
      </c>
      <c r="C7" s="0" t="n">
        <v>31407.343948</v>
      </c>
      <c r="D7" s="0" t="n">
        <v>3600.247759</v>
      </c>
      <c r="E7" s="0" t="n">
        <v>27807.096189</v>
      </c>
      <c r="G7" s="1" t="s">
        <v>36</v>
      </c>
      <c r="H7" s="0" t="n">
        <v>27807.096189</v>
      </c>
    </row>
    <row r="8" customFormat="false" ht="17.15" hidden="false" customHeight="false" outlineLevel="0" collapsed="false">
      <c r="B8" s="1" t="s">
        <v>37</v>
      </c>
      <c r="C8" s="0" t="n">
        <v>10684.451441</v>
      </c>
      <c r="D8" s="0" t="n">
        <v>1113.237219</v>
      </c>
      <c r="E8" s="0" t="n">
        <v>9571.214222</v>
      </c>
      <c r="G8" s="1" t="s">
        <v>37</v>
      </c>
      <c r="H8" s="0" t="n">
        <v>9571.214222</v>
      </c>
    </row>
    <row r="9" customFormat="false" ht="17.15" hidden="false" customHeight="false" outlineLevel="0" collapsed="false">
      <c r="B9" s="1" t="s">
        <v>38</v>
      </c>
      <c r="C9" s="0" t="n">
        <v>1577.366361</v>
      </c>
      <c r="D9" s="0" t="n">
        <v>158.202265</v>
      </c>
      <c r="E9" s="0" t="n">
        <v>1419.164096</v>
      </c>
      <c r="G9" s="1" t="s">
        <v>38</v>
      </c>
      <c r="H9" s="0" t="n">
        <v>1419.164096</v>
      </c>
    </row>
    <row r="10" customFormat="false" ht="15" hidden="false" customHeight="false" outlineLevel="0" collapsed="false">
      <c r="B10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62</v>
      </c>
    </row>
    <row r="3" customFormat="false" ht="17.15" hidden="false" customHeight="false" outlineLevel="0" collapsed="false">
      <c r="B3" s="1" t="s">
        <v>63</v>
      </c>
      <c r="K3" s="1" t="s">
        <v>64</v>
      </c>
    </row>
    <row r="4" customFormat="false" ht="15" hidden="false" customHeight="false" outlineLevel="0" collapsed="false">
      <c r="B4" s="1" t="s">
        <v>0</v>
      </c>
      <c r="C4" s="1" t="s">
        <v>65</v>
      </c>
      <c r="D4" s="1" t="s">
        <v>66</v>
      </c>
      <c r="G4" s="1" t="s">
        <v>67</v>
      </c>
      <c r="J4" s="1" t="s">
        <v>68</v>
      </c>
    </row>
    <row r="5" customFormat="false" ht="15" hidden="false" customHeight="false" outlineLevel="0" collapsed="false">
      <c r="D5" s="1" t="s">
        <v>66</v>
      </c>
      <c r="E5" s="1" t="s">
        <v>69</v>
      </c>
      <c r="F5" s="1" t="s">
        <v>70</v>
      </c>
      <c r="G5" s="1" t="s">
        <v>67</v>
      </c>
      <c r="H5" s="1" t="s">
        <v>69</v>
      </c>
      <c r="I5" s="1" t="s">
        <v>70</v>
      </c>
      <c r="J5" s="1" t="s">
        <v>68</v>
      </c>
      <c r="K5" s="1" t="s">
        <v>69</v>
      </c>
      <c r="L5" s="1" t="s">
        <v>70</v>
      </c>
    </row>
    <row r="6" customFormat="false" ht="15" hidden="false" customHeight="false" outlineLevel="0" collapsed="false">
      <c r="B6" s="1" t="s">
        <v>55</v>
      </c>
      <c r="D6" s="0" t="n">
        <v>1903666.670857</v>
      </c>
      <c r="E6" s="0" t="s">
        <v>71</v>
      </c>
      <c r="F6" s="0" t="n">
        <v>23.68</v>
      </c>
      <c r="G6" s="0" t="n">
        <v>13709</v>
      </c>
      <c r="J6" s="0" t="n">
        <v>10964</v>
      </c>
    </row>
    <row r="7" customFormat="false" ht="17.15" hidden="false" customHeight="false" outlineLevel="0" collapsed="false">
      <c r="B7" s="0" t="n">
        <v>1</v>
      </c>
      <c r="C7" s="1" t="s">
        <v>31</v>
      </c>
      <c r="D7" s="0" t="n">
        <v>247889.783751</v>
      </c>
      <c r="E7" s="0" t="n">
        <v>13.0217010964112</v>
      </c>
      <c r="F7" s="0" t="n">
        <v>26.22</v>
      </c>
      <c r="G7" s="0" t="n">
        <v>830</v>
      </c>
      <c r="H7" s="0" t="n">
        <v>6.0544168064775</v>
      </c>
      <c r="I7" s="0" t="n">
        <v>-8.19</v>
      </c>
      <c r="J7" s="0" t="n">
        <v>664</v>
      </c>
      <c r="K7" s="0" t="n">
        <v>6.05618387449836</v>
      </c>
      <c r="L7" s="0" t="n">
        <v>24.3</v>
      </c>
    </row>
    <row r="8" customFormat="false" ht="17.15" hidden="false" customHeight="false" outlineLevel="0" collapsed="false">
      <c r="B8" s="0" t="n">
        <v>2</v>
      </c>
      <c r="C8" s="1" t="s">
        <v>32</v>
      </c>
      <c r="D8" s="0" t="n">
        <v>386680.815798</v>
      </c>
      <c r="E8" s="0" t="n">
        <v>20.3124224276051</v>
      </c>
      <c r="F8" s="0" t="n">
        <v>10.42</v>
      </c>
      <c r="G8" s="0" t="n">
        <v>1428</v>
      </c>
      <c r="H8" s="0" t="n">
        <v>10.4165146983733</v>
      </c>
      <c r="I8" s="0" t="n">
        <v>31.34</v>
      </c>
      <c r="J8" s="0" t="n">
        <v>1142</v>
      </c>
      <c r="K8" s="0" t="n">
        <v>10.4159066034294</v>
      </c>
      <c r="L8" s="0" t="n">
        <v>-17.12</v>
      </c>
    </row>
    <row r="9" customFormat="false" ht="17.15" hidden="false" customHeight="false" outlineLevel="0" collapsed="false">
      <c r="B9" s="0" t="n">
        <v>3</v>
      </c>
      <c r="C9" s="1" t="s">
        <v>33</v>
      </c>
      <c r="D9" s="0" t="n">
        <v>382647.787217</v>
      </c>
      <c r="E9" s="0" t="n">
        <v>20.1005666104738</v>
      </c>
      <c r="F9" s="0" t="n">
        <v>-16.62</v>
      </c>
      <c r="G9" s="0" t="n">
        <v>2060</v>
      </c>
      <c r="H9" s="0" t="n">
        <v>15.0266248449923</v>
      </c>
      <c r="I9" s="0" t="n">
        <v>17.86</v>
      </c>
      <c r="J9" s="0" t="n">
        <v>1648</v>
      </c>
      <c r="K9" s="0" t="n">
        <v>15.0310105800803</v>
      </c>
      <c r="L9" s="0" t="n">
        <v>-0.94</v>
      </c>
    </row>
    <row r="10" customFormat="false" ht="17.15" hidden="false" customHeight="false" outlineLevel="0" collapsed="false">
      <c r="B10" s="0" t="n">
        <v>4</v>
      </c>
      <c r="C10" s="1" t="s">
        <v>34</v>
      </c>
      <c r="D10" s="0" t="n">
        <v>108419.862568</v>
      </c>
      <c r="E10" s="0" t="n">
        <v>5.69531757989917</v>
      </c>
      <c r="F10" s="0" t="n">
        <v>24.88</v>
      </c>
      <c r="G10" s="0" t="n">
        <v>451</v>
      </c>
      <c r="H10" s="0" t="n">
        <v>3.28980961412211</v>
      </c>
      <c r="I10" s="0" t="n">
        <v>6.78</v>
      </c>
      <c r="J10" s="0" t="n">
        <v>360</v>
      </c>
      <c r="K10" s="0" t="n">
        <v>3.28347318496899</v>
      </c>
      <c r="L10" s="0" t="n">
        <v>22.39</v>
      </c>
    </row>
    <row r="11" customFormat="false" ht="17.15" hidden="false" customHeight="false" outlineLevel="0" collapsed="false">
      <c r="B11" s="0" t="n">
        <v>5</v>
      </c>
      <c r="C11" s="1" t="s">
        <v>35</v>
      </c>
      <c r="D11" s="0" t="n">
        <v>229534.280734</v>
      </c>
      <c r="E11" s="0" t="n">
        <v>12.0574827645991</v>
      </c>
      <c r="F11" s="0" t="n">
        <v>38.52</v>
      </c>
      <c r="G11" s="0" t="n">
        <v>1358</v>
      </c>
      <c r="H11" s="0" t="n">
        <v>9.90590123276679</v>
      </c>
      <c r="I11" s="0" t="n">
        <v>-14.52</v>
      </c>
      <c r="J11" s="0" t="n">
        <v>1086</v>
      </c>
      <c r="K11" s="0" t="n">
        <v>9.90514410798978</v>
      </c>
      <c r="L11" s="0" t="n">
        <v>9.76</v>
      </c>
    </row>
    <row r="12" customFormat="false" ht="17.15" hidden="false" customHeight="false" outlineLevel="0" collapsed="false">
      <c r="B12" s="0" t="n">
        <v>6</v>
      </c>
      <c r="C12" s="1" t="s">
        <v>36</v>
      </c>
      <c r="D12" s="0" t="n">
        <v>128719.859087</v>
      </c>
      <c r="E12" s="0" t="n">
        <v>6.76168055351058</v>
      </c>
      <c r="F12" s="0" t="n">
        <v>16.41</v>
      </c>
      <c r="G12" s="0" t="n">
        <v>2630</v>
      </c>
      <c r="H12" s="0" t="n">
        <v>19.1844773506456</v>
      </c>
      <c r="I12" s="0" t="n">
        <v>-7.62</v>
      </c>
      <c r="J12" s="0" t="n">
        <v>2104</v>
      </c>
      <c r="K12" s="0" t="n">
        <v>19.1900766143743</v>
      </c>
      <c r="L12" s="0" t="n">
        <v>35.07</v>
      </c>
    </row>
    <row r="13" customFormat="false" ht="17.15" hidden="false" customHeight="false" outlineLevel="0" collapsed="false">
      <c r="B13" s="0" t="n">
        <v>7</v>
      </c>
      <c r="C13" s="1" t="s">
        <v>37</v>
      </c>
      <c r="D13" s="0" t="n">
        <v>40244.929113</v>
      </c>
      <c r="E13" s="0" t="n">
        <v>2.11407436654246</v>
      </c>
      <c r="F13" s="0" t="n">
        <v>-0.11</v>
      </c>
      <c r="G13" s="0" t="n">
        <v>713</v>
      </c>
      <c r="H13" s="0" t="n">
        <v>5.20096287110657</v>
      </c>
      <c r="I13" s="0" t="n">
        <v>-7.22</v>
      </c>
      <c r="J13" s="0" t="n">
        <v>570</v>
      </c>
      <c r="K13" s="0" t="n">
        <v>5.19883254286757</v>
      </c>
      <c r="L13" s="0" t="n">
        <v>-18.62</v>
      </c>
    </row>
    <row r="14" customFormat="false" ht="17.15" hidden="false" customHeight="false" outlineLevel="0" collapsed="false">
      <c r="B14" s="0" t="n">
        <v>8</v>
      </c>
      <c r="C14" s="1" t="s">
        <v>38</v>
      </c>
      <c r="D14" s="0" t="n">
        <v>80979.770065</v>
      </c>
      <c r="E14" s="0" t="n">
        <v>4.2538839022981</v>
      </c>
      <c r="F14" s="0" t="n">
        <v>-7.88</v>
      </c>
      <c r="G14" s="0" t="n">
        <v>1286</v>
      </c>
      <c r="H14" s="0" t="n">
        <v>9.38069881100007</v>
      </c>
      <c r="I14" s="0" t="n">
        <v>-3.93</v>
      </c>
      <c r="J14" s="0" t="n">
        <v>1028</v>
      </c>
      <c r="K14" s="0" t="n">
        <v>9.37614009485589</v>
      </c>
      <c r="L14" s="0" t="n">
        <v>-1.65</v>
      </c>
    </row>
    <row r="15" customFormat="false" ht="17.15" hidden="false" customHeight="false" outlineLevel="0" collapsed="false">
      <c r="B15" s="0" t="n">
        <v>9</v>
      </c>
      <c r="C15" s="1" t="s">
        <v>39</v>
      </c>
      <c r="D15" s="0" t="n">
        <v>298549.582524</v>
      </c>
      <c r="E15" s="0" t="n">
        <v>15.6828706986606</v>
      </c>
      <c r="F15" s="0" t="n">
        <v>43.2</v>
      </c>
      <c r="G15" s="0" t="n">
        <v>2953</v>
      </c>
      <c r="H15" s="0" t="n">
        <v>21.5405937705157</v>
      </c>
      <c r="I15" s="0" t="n">
        <v>-4.89</v>
      </c>
      <c r="J15" s="0" t="n">
        <v>2362</v>
      </c>
      <c r="K15" s="0" t="n">
        <v>21.5432323969354</v>
      </c>
      <c r="L15" s="0" t="n">
        <v>-10.66</v>
      </c>
    </row>
    <row r="16" customFormat="false" ht="17.15" hidden="false" customHeight="false" outlineLevel="0" collapsed="false">
      <c r="B16" s="1" t="s">
        <v>72</v>
      </c>
      <c r="C16" s="0" t="s">
        <v>73</v>
      </c>
    </row>
    <row r="17" customFormat="false" ht="17.15" hidden="false" customHeight="false" outlineLevel="0" collapsed="false">
      <c r="C17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75</v>
      </c>
    </row>
    <row r="3" customFormat="false" ht="17.15" hidden="false" customHeight="false" outlineLevel="0" collapsed="false">
      <c r="B3" s="1" t="s">
        <v>76</v>
      </c>
      <c r="E3" s="1" t="s">
        <v>77</v>
      </c>
      <c r="F3" s="0" t="n">
        <f aca="false">E6/2379583.34*10000</f>
        <v>1083.63088472455</v>
      </c>
    </row>
    <row r="4" customFormat="false" ht="15" hidden="false" customHeight="false" outlineLevel="0" collapsed="false">
      <c r="B4" s="1" t="s">
        <v>0</v>
      </c>
      <c r="C4" s="1" t="s">
        <v>65</v>
      </c>
      <c r="D4" s="1" t="s">
        <v>55</v>
      </c>
    </row>
    <row r="5" customFormat="false" ht="15" hidden="false" customHeight="false" outlineLevel="0" collapsed="false">
      <c r="D5" s="1" t="s">
        <v>68</v>
      </c>
      <c r="E5" s="1" t="s">
        <v>78</v>
      </c>
      <c r="F5" s="1" t="s">
        <v>79</v>
      </c>
    </row>
    <row r="6" customFormat="false" ht="15" hidden="false" customHeight="false" outlineLevel="0" collapsed="false">
      <c r="B6" s="1" t="s">
        <v>55</v>
      </c>
      <c r="D6" s="0" t="n">
        <v>26857</v>
      </c>
      <c r="E6" s="0" t="n">
        <v>257859</v>
      </c>
    </row>
    <row r="7" customFormat="false" ht="17.15" hidden="false" customHeight="false" outlineLevel="0" collapsed="false">
      <c r="B7" s="0" t="n">
        <v>1</v>
      </c>
      <c r="C7" s="1" t="s">
        <v>31</v>
      </c>
      <c r="D7" s="0" t="n">
        <v>3973</v>
      </c>
      <c r="E7" s="0" t="n">
        <v>31789</v>
      </c>
      <c r="F7" s="0" t="n">
        <v>8</v>
      </c>
    </row>
    <row r="8" customFormat="false" ht="17.15" hidden="false" customHeight="false" outlineLevel="0" collapsed="false">
      <c r="B8" s="0" t="n">
        <v>2</v>
      </c>
      <c r="C8" s="1" t="s">
        <v>32</v>
      </c>
      <c r="D8" s="0" t="n">
        <v>6179</v>
      </c>
      <c r="E8" s="0" t="n">
        <v>49433</v>
      </c>
      <c r="F8" s="0" t="n">
        <v>8</v>
      </c>
    </row>
    <row r="9" customFormat="false" ht="17.15" hidden="false" customHeight="false" outlineLevel="0" collapsed="false">
      <c r="B9" s="0" t="n">
        <v>3</v>
      </c>
      <c r="C9" s="1" t="s">
        <v>33</v>
      </c>
      <c r="D9" s="0" t="n">
        <v>5130</v>
      </c>
      <c r="E9" s="0" t="n">
        <v>41046</v>
      </c>
      <c r="F9" s="0" t="n">
        <v>8</v>
      </c>
    </row>
    <row r="10" customFormat="false" ht="17.15" hidden="false" customHeight="false" outlineLevel="0" collapsed="false">
      <c r="B10" s="0" t="n">
        <v>4</v>
      </c>
      <c r="C10" s="1" t="s">
        <v>34</v>
      </c>
      <c r="D10" s="0" t="n">
        <v>1227</v>
      </c>
      <c r="E10" s="0" t="n">
        <v>9817</v>
      </c>
      <c r="F10" s="0" t="n">
        <v>8</v>
      </c>
    </row>
    <row r="11" customFormat="false" ht="17.15" hidden="false" customHeight="false" outlineLevel="0" collapsed="false">
      <c r="B11" s="0" t="n">
        <v>5</v>
      </c>
      <c r="C11" s="1" t="s">
        <v>35</v>
      </c>
      <c r="D11" s="0" t="n">
        <v>2954</v>
      </c>
      <c r="E11" s="0" t="n">
        <v>23639</v>
      </c>
      <c r="F11" s="0" t="n">
        <v>8</v>
      </c>
    </row>
    <row r="12" customFormat="false" ht="17.15" hidden="false" customHeight="false" outlineLevel="0" collapsed="false">
      <c r="B12" s="0" t="n">
        <v>6</v>
      </c>
      <c r="C12" s="1" t="s">
        <v>36</v>
      </c>
      <c r="D12" s="0" t="n">
        <v>1299</v>
      </c>
      <c r="E12" s="0" t="n">
        <v>10392</v>
      </c>
      <c r="F12" s="0" t="n">
        <v>8</v>
      </c>
    </row>
    <row r="13" customFormat="false" ht="17.15" hidden="false" customHeight="false" outlineLevel="0" collapsed="false">
      <c r="B13" s="0" t="n">
        <v>7</v>
      </c>
      <c r="C13" s="1" t="s">
        <v>37</v>
      </c>
      <c r="D13" s="0" t="n">
        <v>403</v>
      </c>
      <c r="E13" s="0" t="n">
        <v>3227</v>
      </c>
      <c r="F13" s="0" t="n">
        <v>8</v>
      </c>
    </row>
    <row r="14" customFormat="false" ht="17.15" hidden="false" customHeight="false" outlineLevel="0" collapsed="false">
      <c r="B14" s="0" t="n">
        <v>8</v>
      </c>
      <c r="C14" s="1" t="s">
        <v>38</v>
      </c>
      <c r="D14" s="0" t="n">
        <v>1196</v>
      </c>
      <c r="E14" s="0" t="n">
        <v>9570</v>
      </c>
      <c r="F14" s="0" t="n">
        <v>8</v>
      </c>
    </row>
    <row r="15" customFormat="false" ht="17.15" hidden="false" customHeight="false" outlineLevel="0" collapsed="false">
      <c r="B15" s="0" t="n">
        <v>9</v>
      </c>
      <c r="C15" s="1" t="s">
        <v>39</v>
      </c>
      <c r="D15" s="0" t="n">
        <v>4496</v>
      </c>
      <c r="E15" s="0" t="n">
        <v>35970</v>
      </c>
      <c r="F15" s="0" t="n">
        <v>8</v>
      </c>
    </row>
    <row r="16" customFormat="false" ht="17.15" hidden="false" customHeight="false" outlineLevel="0" collapsed="false">
      <c r="B16" s="1" t="s">
        <v>72</v>
      </c>
      <c r="C16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81</v>
      </c>
    </row>
    <row r="4" customFormat="false" ht="15" hidden="false" customHeight="false" outlineLevel="0" collapsed="false">
      <c r="B4" s="1" t="s">
        <v>0</v>
      </c>
      <c r="C4" s="1" t="s">
        <v>65</v>
      </c>
      <c r="D4" s="1" t="s">
        <v>82</v>
      </c>
    </row>
    <row r="5" customFormat="false" ht="15" hidden="false" customHeight="false" outlineLevel="0" collapsed="false">
      <c r="D5" s="1" t="s">
        <v>83</v>
      </c>
      <c r="E5" s="1" t="s">
        <v>84</v>
      </c>
    </row>
    <row r="6" customFormat="false" ht="15" hidden="false" customHeight="false" outlineLevel="0" collapsed="false">
      <c r="B6" s="1" t="s">
        <v>55</v>
      </c>
    </row>
    <row r="7" customFormat="false" ht="17.15" hidden="false" customHeight="false" outlineLevel="0" collapsed="false">
      <c r="B7" s="0" t="n">
        <v>1</v>
      </c>
      <c r="C7" s="1" t="s">
        <v>31</v>
      </c>
      <c r="D7" s="0" t="n">
        <v>229666.105099</v>
      </c>
      <c r="E7" s="0" t="n">
        <v>73.0213</v>
      </c>
    </row>
    <row r="8" customFormat="false" ht="17.15" hidden="false" customHeight="false" outlineLevel="0" collapsed="false">
      <c r="B8" s="0" t="n">
        <v>2</v>
      </c>
      <c r="C8" s="1" t="s">
        <v>32</v>
      </c>
      <c r="D8" s="0" t="n">
        <v>356806.642299</v>
      </c>
      <c r="E8" s="0" t="n">
        <v>88.4869</v>
      </c>
    </row>
    <row r="9" customFormat="false" ht="17.15" hidden="false" customHeight="false" outlineLevel="0" collapsed="false">
      <c r="B9" s="0" t="n">
        <v>3</v>
      </c>
      <c r="C9" s="1" t="s">
        <v>33</v>
      </c>
      <c r="D9" s="0" t="n">
        <v>353066.893288</v>
      </c>
      <c r="E9" s="0" t="n">
        <v>78.5509</v>
      </c>
    </row>
    <row r="10" customFormat="false" ht="17.15" hidden="false" customHeight="false" outlineLevel="0" collapsed="false">
      <c r="B10" s="0" t="n">
        <v>4</v>
      </c>
      <c r="C10" s="1" t="s">
        <v>34</v>
      </c>
      <c r="D10" s="0" t="n">
        <v>67296.581119</v>
      </c>
      <c r="E10" s="0" t="n">
        <v>80.4451</v>
      </c>
    </row>
    <row r="11" customFormat="false" ht="17.15" hidden="false" customHeight="false" outlineLevel="0" collapsed="false">
      <c r="B11" s="0" t="n">
        <v>5</v>
      </c>
      <c r="C11" s="1" t="s">
        <v>35</v>
      </c>
      <c r="D11" s="0" t="n">
        <v>193869.098189</v>
      </c>
      <c r="E11" s="0" t="n">
        <v>71.997</v>
      </c>
    </row>
    <row r="12" customFormat="false" ht="17.15" hidden="false" customHeight="false" outlineLevel="0" collapsed="false">
      <c r="B12" s="0" t="n">
        <v>6</v>
      </c>
      <c r="C12" s="1" t="s">
        <v>36</v>
      </c>
      <c r="D12" s="0" t="n">
        <v>121432.980624</v>
      </c>
      <c r="E12" s="0" t="n">
        <v>89.7121</v>
      </c>
    </row>
    <row r="13" customFormat="false" ht="17.15" hidden="false" customHeight="false" outlineLevel="0" collapsed="false">
      <c r="B13" s="0" t="n">
        <v>7</v>
      </c>
      <c r="C13" s="1" t="s">
        <v>37</v>
      </c>
      <c r="D13" s="0" t="n">
        <v>25945.195439</v>
      </c>
      <c r="E13" s="0" t="n">
        <v>84.4208</v>
      </c>
    </row>
    <row r="14" customFormat="false" ht="17.15" hidden="false" customHeight="false" outlineLevel="0" collapsed="false">
      <c r="B14" s="0" t="n">
        <v>8</v>
      </c>
      <c r="C14" s="1" t="s">
        <v>38</v>
      </c>
      <c r="D14" s="0" t="n">
        <v>71740.902068</v>
      </c>
      <c r="E14" s="0" t="n">
        <v>95.8386</v>
      </c>
    </row>
    <row r="15" customFormat="false" ht="17.15" hidden="false" customHeight="false" outlineLevel="0" collapsed="false">
      <c r="B15" s="0" t="n">
        <v>9</v>
      </c>
      <c r="C15" s="1" t="s">
        <v>39</v>
      </c>
      <c r="D15" s="0" t="n">
        <v>197234.607199</v>
      </c>
      <c r="E15" s="0" t="n">
        <v>86.7695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85</v>
      </c>
    </row>
    <row r="3" customFormat="false" ht="15" hidden="false" customHeight="false" outlineLevel="0" collapsed="false">
      <c r="G3" s="1" t="s">
        <v>86</v>
      </c>
      <c r="H3" s="0" t="n">
        <v>3927829.43</v>
      </c>
      <c r="I3" s="0" t="n">
        <v>91800.78</v>
      </c>
      <c r="J3" s="0" t="n">
        <f aca="false">I3/H3</f>
        <v>0.0233718855759987</v>
      </c>
    </row>
    <row r="4" customFormat="false" ht="32.8" hidden="false" customHeight="false" outlineLevel="0" collapsed="false">
      <c r="B4" s="1" t="s">
        <v>0</v>
      </c>
      <c r="C4" s="1" t="s">
        <v>65</v>
      </c>
      <c r="J4" s="2" t="s">
        <v>87</v>
      </c>
    </row>
    <row r="6" customFormat="false" ht="15" hidden="false" customHeight="false" outlineLevel="0" collapsed="false">
      <c r="B6" s="1" t="s">
        <v>55</v>
      </c>
    </row>
    <row r="7" customFormat="false" ht="17.15" hidden="false" customHeight="false" outlineLevel="0" collapsed="false">
      <c r="B7" s="0" t="n">
        <v>1</v>
      </c>
      <c r="C7" s="1" t="s">
        <v>31</v>
      </c>
      <c r="J7" s="0" t="n">
        <v>3.51277</v>
      </c>
    </row>
    <row r="8" customFormat="false" ht="17.15" hidden="false" customHeight="false" outlineLevel="0" collapsed="false">
      <c r="B8" s="0" t="n">
        <v>2</v>
      </c>
      <c r="C8" s="1" t="s">
        <v>32</v>
      </c>
      <c r="J8" s="0" t="n">
        <v>3.89919</v>
      </c>
    </row>
    <row r="9" customFormat="false" ht="17.15" hidden="false" customHeight="false" outlineLevel="0" collapsed="false">
      <c r="B9" s="0" t="n">
        <v>3</v>
      </c>
      <c r="C9" s="1" t="s">
        <v>33</v>
      </c>
      <c r="J9" s="0" t="n">
        <v>2.627523</v>
      </c>
    </row>
    <row r="10" customFormat="false" ht="17.15" hidden="false" customHeight="false" outlineLevel="0" collapsed="false">
      <c r="B10" s="0" t="n">
        <v>4</v>
      </c>
      <c r="C10" s="1" t="s">
        <v>34</v>
      </c>
      <c r="J10" s="0" t="n">
        <v>2.180191</v>
      </c>
    </row>
    <row r="11" customFormat="false" ht="17.15" hidden="false" customHeight="false" outlineLevel="0" collapsed="false">
      <c r="B11" s="0" t="n">
        <v>5</v>
      </c>
      <c r="C11" s="1" t="s">
        <v>35</v>
      </c>
      <c r="J11" s="0" t="n">
        <v>4.113638</v>
      </c>
    </row>
    <row r="12" customFormat="false" ht="17.15" hidden="false" customHeight="false" outlineLevel="0" collapsed="false">
      <c r="B12" s="0" t="n">
        <v>6</v>
      </c>
      <c r="C12" s="1" t="s">
        <v>36</v>
      </c>
      <c r="J12" s="0" t="n">
        <v>0.994896</v>
      </c>
    </row>
    <row r="13" customFormat="false" ht="17.15" hidden="false" customHeight="false" outlineLevel="0" collapsed="false">
      <c r="B13" s="0" t="n">
        <v>7</v>
      </c>
      <c r="C13" s="1" t="s">
        <v>37</v>
      </c>
      <c r="J13" s="0" t="n">
        <v>1.180248</v>
      </c>
    </row>
    <row r="14" customFormat="false" ht="17.15" hidden="false" customHeight="false" outlineLevel="0" collapsed="false">
      <c r="B14" s="0" t="n">
        <v>8</v>
      </c>
      <c r="C14" s="1" t="s">
        <v>38</v>
      </c>
      <c r="J14" s="0" t="n">
        <v>1.028255</v>
      </c>
    </row>
    <row r="15" customFormat="false" ht="17.15" hidden="false" customHeight="false" outlineLevel="0" collapsed="false">
      <c r="B15" s="0" t="n">
        <v>9</v>
      </c>
      <c r="C15" s="1" t="s">
        <v>39</v>
      </c>
      <c r="J15" s="0" t="n">
        <v>3.78078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85</v>
      </c>
    </row>
    <row r="3" customFormat="false" ht="15" hidden="false" customHeight="false" outlineLevel="0" collapsed="false">
      <c r="G3" s="1" t="s">
        <v>86</v>
      </c>
      <c r="H3" s="0" t="n">
        <v>3344015.67</v>
      </c>
      <c r="I3" s="0" t="n">
        <v>96948.69</v>
      </c>
      <c r="J3" s="0" t="n">
        <f aca="false">I3/H3</f>
        <v>0.0289916972787391</v>
      </c>
    </row>
    <row r="4" customFormat="false" ht="32.8" hidden="false" customHeight="false" outlineLevel="0" collapsed="false">
      <c r="B4" s="1" t="s">
        <v>0</v>
      </c>
      <c r="C4" s="1" t="s">
        <v>65</v>
      </c>
      <c r="J4" s="2" t="s">
        <v>87</v>
      </c>
    </row>
    <row r="6" customFormat="false" ht="15" hidden="false" customHeight="false" outlineLevel="0" collapsed="false">
      <c r="B6" s="1" t="s">
        <v>55</v>
      </c>
    </row>
    <row r="7" customFormat="false" ht="17.15" hidden="false" customHeight="false" outlineLevel="0" collapsed="false">
      <c r="B7" s="0" t="n">
        <v>1</v>
      </c>
      <c r="C7" s="1" t="s">
        <v>31</v>
      </c>
      <c r="J7" s="0" t="n">
        <v>4.183328</v>
      </c>
    </row>
    <row r="8" customFormat="false" ht="17.15" hidden="false" customHeight="false" outlineLevel="0" collapsed="false">
      <c r="B8" s="0" t="n">
        <v>2</v>
      </c>
      <c r="C8" s="1" t="s">
        <v>32</v>
      </c>
      <c r="J8" s="0" t="n">
        <v>2.822715</v>
      </c>
    </row>
    <row r="9" customFormat="false" ht="17.15" hidden="false" customHeight="false" outlineLevel="0" collapsed="false">
      <c r="B9" s="0" t="n">
        <v>3</v>
      </c>
      <c r="C9" s="1" t="s">
        <v>33</v>
      </c>
      <c r="J9" s="0" t="n">
        <v>4.294143</v>
      </c>
    </row>
    <row r="10" customFormat="false" ht="17.15" hidden="false" customHeight="false" outlineLevel="0" collapsed="false">
      <c r="B10" s="0" t="n">
        <v>4</v>
      </c>
      <c r="C10" s="1" t="s">
        <v>34</v>
      </c>
      <c r="J10" s="0" t="n">
        <v>0.703718</v>
      </c>
    </row>
    <row r="11" customFormat="false" ht="17.15" hidden="false" customHeight="false" outlineLevel="0" collapsed="false">
      <c r="B11" s="0" t="n">
        <v>5</v>
      </c>
      <c r="C11" s="1" t="s">
        <v>35</v>
      </c>
      <c r="J11" s="0" t="n">
        <v>1.070111</v>
      </c>
    </row>
    <row r="12" customFormat="false" ht="17.15" hidden="false" customHeight="false" outlineLevel="0" collapsed="false">
      <c r="B12" s="0" t="n">
        <v>6</v>
      </c>
      <c r="C12" s="1" t="s">
        <v>36</v>
      </c>
      <c r="J12" s="0" t="n">
        <v>2.831847</v>
      </c>
    </row>
    <row r="13" customFormat="false" ht="17.15" hidden="false" customHeight="false" outlineLevel="0" collapsed="false">
      <c r="B13" s="0" t="n">
        <v>7</v>
      </c>
      <c r="C13" s="1" t="s">
        <v>37</v>
      </c>
      <c r="J13" s="0" t="n">
        <v>1.315482</v>
      </c>
    </row>
    <row r="14" customFormat="false" ht="17.15" hidden="false" customHeight="false" outlineLevel="0" collapsed="false">
      <c r="B14" s="0" t="n">
        <v>8</v>
      </c>
      <c r="C14" s="1" t="s">
        <v>38</v>
      </c>
      <c r="J14" s="0" t="n">
        <v>1.73012</v>
      </c>
    </row>
    <row r="15" customFormat="false" ht="17.15" hidden="false" customHeight="false" outlineLevel="0" collapsed="false">
      <c r="B15" s="0" t="n">
        <v>9</v>
      </c>
      <c r="C15" s="1" t="s">
        <v>39</v>
      </c>
      <c r="J15" s="0" t="n">
        <v>1.341857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65</v>
      </c>
      <c r="C1" s="1" t="s">
        <v>88</v>
      </c>
    </row>
    <row r="2" customFormat="false" ht="17.15" hidden="false" customHeight="false" outlineLevel="0" collapsed="false">
      <c r="A2" s="0" t="n">
        <f aca="false">ROW()-1</f>
        <v>1</v>
      </c>
      <c r="B2" s="1" t="s">
        <v>31</v>
      </c>
      <c r="C2" s="0" t="n">
        <v>67.66</v>
      </c>
    </row>
    <row r="3" customFormat="false" ht="17.15" hidden="false" customHeight="false" outlineLevel="0" collapsed="false">
      <c r="A3" s="0" t="n">
        <f aca="false">ROW()-1</f>
        <v>2</v>
      </c>
      <c r="B3" s="1" t="s">
        <v>32</v>
      </c>
      <c r="C3" s="0" t="n">
        <v>92.48</v>
      </c>
    </row>
    <row r="4" customFormat="false" ht="17.15" hidden="false" customHeight="false" outlineLevel="0" collapsed="false">
      <c r="A4" s="0" t="n">
        <f aca="false">ROW()-1</f>
        <v>3</v>
      </c>
      <c r="B4" s="1" t="s">
        <v>33</v>
      </c>
      <c r="C4" s="0" t="n">
        <v>91.25</v>
      </c>
    </row>
    <row r="5" customFormat="false" ht="17.15" hidden="false" customHeight="false" outlineLevel="0" collapsed="false">
      <c r="A5" s="0" t="n">
        <f aca="false">ROW()-1</f>
        <v>4</v>
      </c>
      <c r="B5" s="1" t="s">
        <v>34</v>
      </c>
      <c r="C5" s="0" t="n">
        <v>93.6</v>
      </c>
    </row>
    <row r="6" customFormat="false" ht="17.15" hidden="false" customHeight="false" outlineLevel="0" collapsed="false">
      <c r="A6" s="0" t="n">
        <f aca="false">ROW()-1</f>
        <v>5</v>
      </c>
      <c r="B6" s="1" t="s">
        <v>35</v>
      </c>
      <c r="C6" s="0" t="n">
        <v>81.41</v>
      </c>
    </row>
    <row r="7" customFormat="false" ht="17.15" hidden="false" customHeight="false" outlineLevel="0" collapsed="false">
      <c r="A7" s="0" t="n">
        <f aca="false">ROW()-1</f>
        <v>6</v>
      </c>
      <c r="B7" s="1" t="s">
        <v>36</v>
      </c>
      <c r="C7" s="0" t="n">
        <v>91.18</v>
      </c>
    </row>
    <row r="8" customFormat="false" ht="17.15" hidden="false" customHeight="false" outlineLevel="0" collapsed="false">
      <c r="A8" s="0" t="n">
        <f aca="false">ROW()-1</f>
        <v>7</v>
      </c>
      <c r="B8" s="1" t="s">
        <v>37</v>
      </c>
      <c r="C8" s="0" t="n">
        <v>73.74</v>
      </c>
    </row>
    <row r="9" customFormat="false" ht="17.15" hidden="false" customHeight="false" outlineLevel="0" collapsed="false">
      <c r="A9" s="0" t="n">
        <f aca="false">ROW()-1</f>
        <v>8</v>
      </c>
      <c r="B9" s="1" t="s">
        <v>38</v>
      </c>
      <c r="C9" s="0" t="n">
        <v>80.22</v>
      </c>
    </row>
    <row r="10" customFormat="false" ht="17.15" hidden="false" customHeight="false" outlineLevel="0" collapsed="false">
      <c r="A10" s="0" t="n">
        <f aca="false">ROW()-1</f>
        <v>9</v>
      </c>
      <c r="B10" s="1" t="s">
        <v>39</v>
      </c>
      <c r="C10" s="0" t="n">
        <v>83.04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7.15" hidden="false" customHeight="false" outlineLevel="0" collapsed="false">
      <c r="B2" s="1" t="s">
        <v>59</v>
      </c>
      <c r="C2" s="1" t="s">
        <v>60</v>
      </c>
    </row>
    <row r="3" customFormat="false" ht="17.15" hidden="false" customHeight="false" outlineLevel="0" collapsed="false">
      <c r="B3" s="1" t="s">
        <v>31</v>
      </c>
      <c r="C3" s="0" t="n">
        <v>12572.285517</v>
      </c>
    </row>
    <row r="4" customFormat="false" ht="17.15" hidden="false" customHeight="false" outlineLevel="0" collapsed="false">
      <c r="B4" s="1" t="s">
        <v>32</v>
      </c>
      <c r="C4" s="0" t="n">
        <v>9077.232023</v>
      </c>
    </row>
    <row r="5" customFormat="false" ht="17.15" hidden="false" customHeight="false" outlineLevel="0" collapsed="false">
      <c r="B5" s="1" t="s">
        <v>33</v>
      </c>
      <c r="C5" s="0" t="n">
        <v>83729.057</v>
      </c>
    </row>
    <row r="6" customFormat="false" ht="17.15" hidden="false" customHeight="false" outlineLevel="0" collapsed="false">
      <c r="B6" s="1" t="s">
        <v>34</v>
      </c>
      <c r="C6" s="0" t="n">
        <v>55390.423655</v>
      </c>
    </row>
    <row r="7" customFormat="false" ht="17.15" hidden="false" customHeight="false" outlineLevel="0" collapsed="false">
      <c r="B7" s="1" t="s">
        <v>35</v>
      </c>
      <c r="C7" s="0" t="n">
        <v>109647.143718</v>
      </c>
    </row>
    <row r="8" customFormat="false" ht="15" hidden="false" customHeight="false" outlineLevel="0" collapsed="false">
      <c r="B8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2026-10-19T17:14:30Z</dcterms:created>
  <dc:creator>openpyxl</dc:creator>
  <dc:description/>
  <dc:language>en-US</dc:language>
  <cp:lastModifiedBy/>
  <dcterms:modified xsi:type="dcterms:W3CDTF">2026-10-19T17:14:30Z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